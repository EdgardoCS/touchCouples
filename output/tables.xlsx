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do\Documents\GitHub\touchCouples\output\"/>
    </mc:Choice>
  </mc:AlternateContent>
  <xr:revisionPtr revIDLastSave="0" documentId="13_ncr:1_{A7597F61-002A-48BD-B749-466A387BB76F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Sheet1" sheetId="1" r:id="rId1"/>
    <sheet name="Sheet2" sheetId="2" r:id="rId2"/>
    <sheet name="Sheet3" sheetId="3" r:id="rId3"/>
    <sheet name="Sheet5" sheetId="5" r:id="rId4"/>
    <sheet name="Sheet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" i="3" l="1"/>
  <c r="M38" i="3"/>
  <c r="M33" i="3"/>
  <c r="M34" i="3"/>
  <c r="M32" i="3"/>
  <c r="M26" i="3"/>
  <c r="N26" i="3" s="1"/>
  <c r="M27" i="3"/>
  <c r="N27" i="3" s="1"/>
  <c r="M25" i="3"/>
  <c r="N25" i="3" s="1"/>
  <c r="M24" i="3"/>
  <c r="N24" i="3" s="1"/>
  <c r="M23" i="3"/>
  <c r="N23" i="3" s="1"/>
  <c r="M22" i="3"/>
  <c r="N22" i="3" s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K11" i="2"/>
  <c r="D36" i="1"/>
  <c r="E36" i="1"/>
  <c r="F36" i="1"/>
  <c r="G36" i="1"/>
  <c r="H36" i="1"/>
  <c r="D37" i="1"/>
  <c r="E37" i="1"/>
  <c r="F37" i="1"/>
  <c r="G37" i="1"/>
  <c r="H37" i="1"/>
  <c r="D38" i="1"/>
  <c r="E38" i="1"/>
  <c r="F38" i="1"/>
  <c r="G38" i="1"/>
  <c r="H38" i="1"/>
  <c r="D39" i="1"/>
  <c r="E39" i="1"/>
  <c r="F39" i="1"/>
  <c r="G39" i="1"/>
  <c r="H39" i="1"/>
  <c r="D40" i="1"/>
  <c r="E40" i="1"/>
  <c r="F40" i="1"/>
  <c r="G40" i="1"/>
  <c r="H40" i="1"/>
  <c r="D41" i="1"/>
  <c r="E41" i="1"/>
  <c r="F41" i="1"/>
  <c r="G41" i="1"/>
  <c r="H41" i="1"/>
  <c r="D42" i="1"/>
  <c r="E42" i="1"/>
  <c r="F42" i="1"/>
  <c r="G42" i="1"/>
  <c r="H42" i="1"/>
  <c r="D43" i="1"/>
  <c r="E43" i="1"/>
  <c r="F43" i="1"/>
  <c r="G43" i="1"/>
  <c r="H43" i="1"/>
  <c r="D44" i="1"/>
  <c r="E44" i="1"/>
  <c r="F44" i="1"/>
  <c r="G44" i="1"/>
  <c r="H44" i="1"/>
  <c r="C44" i="1"/>
  <c r="P45" i="2"/>
  <c r="C43" i="1"/>
  <c r="C42" i="1"/>
  <c r="C41" i="1"/>
  <c r="C40" i="1"/>
  <c r="C39" i="1"/>
  <c r="C38" i="1"/>
  <c r="C37" i="1"/>
  <c r="C36" i="1"/>
  <c r="D35" i="1"/>
  <c r="E35" i="1"/>
  <c r="F35" i="1"/>
  <c r="G35" i="1"/>
  <c r="H35" i="1"/>
  <c r="C35" i="1"/>
  <c r="D34" i="1"/>
  <c r="E34" i="1"/>
  <c r="F34" i="1"/>
  <c r="G34" i="1"/>
  <c r="H34" i="1"/>
  <c r="C34" i="1"/>
  <c r="D33" i="1"/>
  <c r="E33" i="1"/>
  <c r="F33" i="1"/>
  <c r="G33" i="1"/>
  <c r="H33" i="1"/>
  <c r="C33" i="1"/>
  <c r="C32" i="1"/>
  <c r="D32" i="1"/>
  <c r="E32" i="1"/>
  <c r="F32" i="1"/>
  <c r="G32" i="1"/>
  <c r="H32" i="1"/>
  <c r="Q43" i="2"/>
  <c r="R43" i="2"/>
  <c r="S43" i="2"/>
  <c r="T43" i="2"/>
  <c r="U43" i="2"/>
  <c r="Q44" i="2"/>
  <c r="R44" i="2"/>
  <c r="S44" i="2"/>
  <c r="T44" i="2"/>
  <c r="U44" i="2"/>
  <c r="Q45" i="2"/>
  <c r="R45" i="2"/>
  <c r="S45" i="2"/>
  <c r="T45" i="2"/>
  <c r="U45" i="2"/>
  <c r="Q46" i="2"/>
  <c r="R46" i="2"/>
  <c r="S46" i="2"/>
  <c r="T46" i="2"/>
  <c r="U46" i="2"/>
  <c r="Q47" i="2"/>
  <c r="R47" i="2"/>
  <c r="S47" i="2"/>
  <c r="T47" i="2"/>
  <c r="U47" i="2"/>
  <c r="Q48" i="2"/>
  <c r="R48" i="2"/>
  <c r="S48" i="2"/>
  <c r="T48" i="2"/>
  <c r="U48" i="2"/>
  <c r="Q49" i="2"/>
  <c r="R49" i="2"/>
  <c r="S49" i="2"/>
  <c r="T49" i="2"/>
  <c r="U49" i="2"/>
  <c r="Q50" i="2"/>
  <c r="R50" i="2"/>
  <c r="S50" i="2"/>
  <c r="T50" i="2"/>
  <c r="U50" i="2"/>
  <c r="P50" i="2"/>
  <c r="P49" i="2"/>
  <c r="P48" i="2"/>
  <c r="P47" i="2"/>
  <c r="P46" i="2"/>
  <c r="P44" i="2"/>
  <c r="P43" i="2"/>
  <c r="Q42" i="2"/>
  <c r="R42" i="2"/>
  <c r="S42" i="2"/>
  <c r="T42" i="2"/>
  <c r="U42" i="2"/>
  <c r="P42" i="2"/>
  <c r="Q40" i="2"/>
  <c r="P40" i="2"/>
  <c r="R36" i="2"/>
  <c r="U36" i="2"/>
  <c r="T41" i="2"/>
  <c r="Y26" i="2"/>
  <c r="Y25" i="2"/>
  <c r="U34" i="2"/>
  <c r="U35" i="2"/>
  <c r="U37" i="2"/>
  <c r="U38" i="2"/>
  <c r="U39" i="2"/>
  <c r="U40" i="2"/>
  <c r="U41" i="2"/>
  <c r="S34" i="2"/>
  <c r="S35" i="2"/>
  <c r="S36" i="2"/>
  <c r="S37" i="2"/>
  <c r="S38" i="2"/>
  <c r="S39" i="2"/>
  <c r="V39" i="2" s="1"/>
  <c r="S40" i="2"/>
  <c r="V40" i="2" s="1"/>
  <c r="S41" i="2"/>
  <c r="V41" i="2" s="1"/>
  <c r="Q34" i="2"/>
  <c r="Q35" i="2"/>
  <c r="Q36" i="2"/>
  <c r="Q37" i="2"/>
  <c r="Q38" i="2"/>
  <c r="Q39" i="2"/>
  <c r="Q41" i="2"/>
  <c r="U33" i="2"/>
  <c r="S33" i="2"/>
  <c r="Q33" i="2"/>
  <c r="P33" i="2"/>
  <c r="V34" i="2"/>
  <c r="V35" i="2"/>
  <c r="V36" i="2"/>
  <c r="V37" i="2"/>
  <c r="V38" i="2"/>
  <c r="R33" i="2"/>
  <c r="T33" i="2"/>
  <c r="R34" i="2"/>
  <c r="T34" i="2"/>
  <c r="R35" i="2"/>
  <c r="T35" i="2"/>
  <c r="T36" i="2"/>
  <c r="R37" i="2"/>
  <c r="T37" i="2"/>
  <c r="R38" i="2"/>
  <c r="T38" i="2"/>
  <c r="R39" i="2"/>
  <c r="T39" i="2"/>
  <c r="R40" i="2"/>
  <c r="T40" i="2"/>
  <c r="R41" i="2"/>
  <c r="P41" i="2"/>
  <c r="P34" i="2"/>
  <c r="P35" i="2"/>
  <c r="P36" i="2"/>
  <c r="P37" i="2"/>
  <c r="P38" i="2"/>
  <c r="P39" i="2"/>
  <c r="D21" i="1"/>
  <c r="E21" i="1"/>
  <c r="F21" i="1"/>
  <c r="G21" i="1"/>
  <c r="H21" i="1"/>
  <c r="D22" i="1"/>
  <c r="E22" i="1"/>
  <c r="F22" i="1"/>
  <c r="G22" i="1"/>
  <c r="H22" i="1"/>
  <c r="D23" i="1"/>
  <c r="E23" i="1"/>
  <c r="F23" i="1"/>
  <c r="G23" i="1"/>
  <c r="H23" i="1"/>
  <c r="D24" i="1"/>
  <c r="E24" i="1"/>
  <c r="F24" i="1"/>
  <c r="G24" i="1"/>
  <c r="H24" i="1"/>
  <c r="D25" i="1"/>
  <c r="E25" i="1"/>
  <c r="F25" i="1"/>
  <c r="G25" i="1"/>
  <c r="H25" i="1"/>
  <c r="D26" i="1"/>
  <c r="E26" i="1"/>
  <c r="F26" i="1"/>
  <c r="G26" i="1"/>
  <c r="H26" i="1"/>
  <c r="D27" i="1"/>
  <c r="E27" i="1"/>
  <c r="F27" i="1"/>
  <c r="G27" i="1"/>
  <c r="H27" i="1"/>
  <c r="D28" i="1"/>
  <c r="E28" i="1"/>
  <c r="F28" i="1"/>
  <c r="G28" i="1"/>
  <c r="H28" i="1"/>
  <c r="D29" i="1"/>
  <c r="E29" i="1"/>
  <c r="F29" i="1"/>
  <c r="G29" i="1"/>
  <c r="H29" i="1"/>
  <c r="C22" i="1"/>
  <c r="C23" i="1"/>
  <c r="C24" i="1"/>
  <c r="C25" i="1"/>
  <c r="C26" i="1"/>
  <c r="C27" i="1"/>
  <c r="C28" i="1"/>
  <c r="C29" i="1"/>
  <c r="C21" i="1"/>
  <c r="D20" i="1"/>
  <c r="E20" i="1"/>
  <c r="F20" i="1"/>
  <c r="G20" i="1"/>
  <c r="H20" i="1"/>
  <c r="C20" i="1"/>
  <c r="Q21" i="2"/>
  <c r="R21" i="2"/>
  <c r="S21" i="2"/>
  <c r="T21" i="2"/>
  <c r="U21" i="2"/>
  <c r="Q22" i="2"/>
  <c r="R22" i="2"/>
  <c r="S22" i="2"/>
  <c r="T22" i="2"/>
  <c r="U22" i="2"/>
  <c r="Q23" i="2"/>
  <c r="R23" i="2"/>
  <c r="S23" i="2"/>
  <c r="T23" i="2"/>
  <c r="U23" i="2"/>
  <c r="Q24" i="2"/>
  <c r="R24" i="2"/>
  <c r="S24" i="2"/>
  <c r="T24" i="2"/>
  <c r="U24" i="2"/>
  <c r="Q25" i="2"/>
  <c r="R25" i="2"/>
  <c r="S25" i="2"/>
  <c r="T25" i="2"/>
  <c r="U25" i="2"/>
  <c r="Q26" i="2"/>
  <c r="R26" i="2"/>
  <c r="S26" i="2"/>
  <c r="T26" i="2"/>
  <c r="U26" i="2"/>
  <c r="Q27" i="2"/>
  <c r="R27" i="2"/>
  <c r="S27" i="2"/>
  <c r="T27" i="2"/>
  <c r="U27" i="2"/>
  <c r="Q28" i="2"/>
  <c r="R28" i="2"/>
  <c r="S28" i="2"/>
  <c r="T28" i="2"/>
  <c r="U28" i="2"/>
  <c r="Q29" i="2"/>
  <c r="R29" i="2"/>
  <c r="S29" i="2"/>
  <c r="T29" i="2"/>
  <c r="U29" i="2"/>
  <c r="P29" i="2"/>
  <c r="P28" i="2"/>
  <c r="P27" i="2"/>
  <c r="P26" i="2"/>
  <c r="P25" i="2"/>
  <c r="P24" i="2"/>
  <c r="P23" i="2"/>
  <c r="P22" i="2"/>
  <c r="P21" i="2"/>
  <c r="F32" i="2"/>
  <c r="E19" i="2"/>
  <c r="V19" i="2"/>
  <c r="V20" i="2"/>
  <c r="F20" i="2"/>
  <c r="G20" i="2"/>
  <c r="J20" i="2"/>
  <c r="F21" i="2"/>
  <c r="D5" i="1" s="1"/>
  <c r="G21" i="2"/>
  <c r="E5" i="1" s="1"/>
  <c r="H21" i="2"/>
  <c r="F5" i="1" s="1"/>
  <c r="I21" i="2"/>
  <c r="G5" i="1" s="1"/>
  <c r="G22" i="2"/>
  <c r="E6" i="1" s="1"/>
  <c r="G23" i="2"/>
  <c r="H23" i="2"/>
  <c r="F24" i="2"/>
  <c r="G24" i="2"/>
  <c r="E8" i="1" s="1"/>
  <c r="H24" i="2"/>
  <c r="I24" i="2"/>
  <c r="J24" i="2"/>
  <c r="H8" i="1" s="1"/>
  <c r="E24" i="2"/>
  <c r="C8" i="1" s="1"/>
  <c r="E22" i="2"/>
  <c r="E21" i="2"/>
  <c r="C5" i="1" s="1"/>
  <c r="K14" i="2"/>
  <c r="E20" i="2" s="1"/>
  <c r="C4" i="1" s="1"/>
  <c r="K15" i="2"/>
  <c r="J21" i="2" s="1"/>
  <c r="H5" i="1" s="1"/>
  <c r="K16" i="2"/>
  <c r="F22" i="2" s="1"/>
  <c r="D6" i="1" s="1"/>
  <c r="K17" i="2"/>
  <c r="F23" i="2" s="1"/>
  <c r="D7" i="1" s="1"/>
  <c r="K18" i="2"/>
  <c r="K13" i="2"/>
  <c r="F19" i="2" s="1"/>
  <c r="D3" i="1" s="1"/>
  <c r="V13" i="2"/>
  <c r="V14" i="2"/>
  <c r="V15" i="2"/>
  <c r="V16" i="2"/>
  <c r="V17" i="2"/>
  <c r="V18" i="2"/>
  <c r="V12" i="2"/>
  <c r="M16" i="2"/>
  <c r="I4" i="1"/>
  <c r="I5" i="1"/>
  <c r="I6" i="1"/>
  <c r="I7" i="1"/>
  <c r="I8" i="1"/>
  <c r="I3" i="1"/>
  <c r="I2" i="1"/>
  <c r="J5" i="1" s="1"/>
  <c r="D4" i="1"/>
  <c r="E4" i="1"/>
  <c r="H4" i="1"/>
  <c r="E7" i="1"/>
  <c r="F7" i="1"/>
  <c r="D8" i="1"/>
  <c r="F8" i="1"/>
  <c r="G8" i="1"/>
  <c r="C6" i="1"/>
  <c r="D2" i="1"/>
  <c r="E2" i="1"/>
  <c r="F2" i="1"/>
  <c r="G2" i="1"/>
  <c r="H2" i="1"/>
  <c r="C2" i="1"/>
  <c r="J3" i="1" l="1"/>
  <c r="J6" i="1"/>
  <c r="J7" i="1"/>
  <c r="J8" i="1"/>
  <c r="J4" i="1"/>
  <c r="V33" i="2"/>
  <c r="E23" i="2"/>
  <c r="C7" i="1" s="1"/>
  <c r="I20" i="2"/>
  <c r="G4" i="1" s="1"/>
  <c r="H20" i="2"/>
  <c r="F4" i="1" s="1"/>
  <c r="C3" i="1"/>
  <c r="J22" i="2"/>
  <c r="H6" i="1" s="1"/>
  <c r="I22" i="2"/>
  <c r="G6" i="1" s="1"/>
  <c r="H22" i="2"/>
  <c r="F6" i="1" s="1"/>
  <c r="J23" i="2"/>
  <c r="H7" i="1" s="1"/>
  <c r="J19" i="2"/>
  <c r="H3" i="1" s="1"/>
  <c r="I23" i="2"/>
  <c r="G7" i="1" s="1"/>
  <c r="I19" i="2"/>
  <c r="G3" i="1" s="1"/>
  <c r="H19" i="2"/>
  <c r="F3" i="1" s="1"/>
  <c r="G19" i="2"/>
  <c r="E3" i="1" s="1"/>
</calcChain>
</file>

<file path=xl/sharedStrings.xml><?xml version="1.0" encoding="utf-8"?>
<sst xmlns="http://schemas.openxmlformats.org/spreadsheetml/2006/main" count="465" uniqueCount="200">
  <si>
    <t>Sample</t>
  </si>
  <si>
    <t>Couple Agreement</t>
  </si>
  <si>
    <t>One-sided Saturation</t>
  </si>
  <si>
    <t>One-sided Deprivation</t>
  </si>
  <si>
    <t>Couple Deprivation</t>
  </si>
  <si>
    <t>Couple Saturation</t>
  </si>
  <si>
    <t>Couple Disagreement</t>
  </si>
  <si>
    <t>Not at all</t>
  </si>
  <si>
    <t>1 to 5 times</t>
  </si>
  <si>
    <t>6 to 5 times</t>
  </si>
  <si>
    <t>11 to 20 times</t>
  </si>
  <si>
    <t>21 to 50 times</t>
  </si>
  <si>
    <t>More than 50 times</t>
  </si>
  <si>
    <t>Whole</t>
  </si>
  <si>
    <t>mean</t>
  </si>
  <si>
    <t>sd</t>
  </si>
  <si>
    <t>median</t>
  </si>
  <si>
    <t>SubGroup1</t>
  </si>
  <si>
    <t>SubGroup2</t>
  </si>
  <si>
    <t>SubGroup3</t>
  </si>
  <si>
    <t>SubGroup4</t>
  </si>
  <si>
    <t>SubGroup5</t>
  </si>
  <si>
    <t>SubGroup6</t>
  </si>
  <si>
    <t>SubGroup7</t>
  </si>
  <si>
    <t>SubGroup8</t>
  </si>
  <si>
    <t>SubGroup9</t>
  </si>
  <si>
    <t>Deprived: both partners</t>
  </si>
  <si>
    <t>Deprived: me</t>
  </si>
  <si>
    <t>Deprived: partner</t>
  </si>
  <si>
    <t xml:space="preserve">Saturated: both partners </t>
  </si>
  <si>
    <t>Saturated: me</t>
  </si>
  <si>
    <t>Saturated: partner</t>
  </si>
  <si>
    <t>Total</t>
  </si>
  <si>
    <t>ok</t>
  </si>
  <si>
    <t>mixed me</t>
  </si>
  <si>
    <t>mixed partner</t>
  </si>
  <si>
    <t>range</t>
  </si>
  <si>
    <t>Age</t>
  </si>
  <si>
    <t>Dyad</t>
  </si>
  <si>
    <t>Women</t>
  </si>
  <si>
    <t>Men</t>
  </si>
  <si>
    <t>Age difference</t>
  </si>
  <si>
    <t>nr</t>
  </si>
  <si>
    <t>%</t>
  </si>
  <si>
    <t>Sex</t>
  </si>
  <si>
    <t>Female</t>
  </si>
  <si>
    <t>Male</t>
  </si>
  <si>
    <t>Sexual orientation</t>
  </si>
  <si>
    <t>Homesexual</t>
  </si>
  <si>
    <t>Heterosexual</t>
  </si>
  <si>
    <t>18-79</t>
  </si>
  <si>
    <t>18-65</t>
  </si>
  <si>
    <t>± 10 years</t>
  </si>
  <si>
    <t>Education ISCED-11</t>
  </si>
  <si>
    <t>ISCED 0: Early childhood education (‘less than primary’ for educational attainment)</t>
  </si>
  <si>
    <t>ISCED 1: Primary education</t>
  </si>
  <si>
    <t>ISCED 2: Lower secondary education</t>
  </si>
  <si>
    <t>ISCED 3: Upper secondary education</t>
  </si>
  <si>
    <t>ISCED 4: Post-secondary non-tertiary education</t>
  </si>
  <si>
    <t>ISCED 5: Short-cycle tertiary education</t>
  </si>
  <si>
    <t>ISCED 6: Bachelor’s or equivalent level</t>
  </si>
  <si>
    <t>ISCED 7: Master’s or equivalent level</t>
  </si>
  <si>
    <t>ISCED 8: Doctoral or equivalent level</t>
  </si>
  <si>
    <t>Less than primary education</t>
  </si>
  <si>
    <t>Primary education</t>
  </si>
  <si>
    <t>secondary education</t>
  </si>
  <si>
    <t>Bachelor</t>
  </si>
  <si>
    <t>Master</t>
  </si>
  <si>
    <t>Doctor</t>
  </si>
  <si>
    <t>Other</t>
  </si>
  <si>
    <t>het</t>
  </si>
  <si>
    <t>hom</t>
  </si>
  <si>
    <t>Depressiveness</t>
  </si>
  <si>
    <t>Loneliness</t>
  </si>
  <si>
    <t>Self-esteem</t>
  </si>
  <si>
    <t>Life Satisfaction</t>
  </si>
  <si>
    <t>Health</t>
  </si>
  <si>
    <r>
      <t>Subgroups division</t>
    </r>
    <r>
      <rPr>
        <sz val="8"/>
        <color theme="1"/>
        <rFont val="Aptos"/>
        <family val="2"/>
      </rPr>
      <t> </t>
    </r>
  </si>
  <si>
    <t>Satisfied</t>
  </si>
  <si>
    <t>Deprived: both</t>
  </si>
  <si>
    <t>Saturated: both</t>
  </si>
  <si>
    <t>Mixed: me deprived, partner saturated</t>
  </si>
  <si>
    <t>Mixed: me saturated, partner deprived</t>
  </si>
  <si>
    <r>
      <t> </t>
    </r>
    <r>
      <rPr>
        <sz val="10"/>
        <color theme="1"/>
        <rFont val="Aptos"/>
        <family val="2"/>
      </rPr>
      <t>I renamed the categories and brought them in a more intuitive order --&gt; can you adopt this for the figures?</t>
    </r>
  </si>
  <si>
    <r>
      <t>'Deprived: Partner'</t>
    </r>
    <r>
      <rPr>
        <sz val="10"/>
        <color rgb="FF24292E"/>
        <rFont val="JetBrains Mono"/>
        <family val="3"/>
      </rPr>
      <t xml:space="preserve">, </t>
    </r>
    <r>
      <rPr>
        <sz val="10"/>
        <color rgb="FF032F62"/>
        <rFont val="JetBrains Mono"/>
        <family val="3"/>
      </rPr>
      <t>'Deprived: Me'</t>
    </r>
    <r>
      <rPr>
        <sz val="10"/>
        <color rgb="FF24292E"/>
        <rFont val="JetBrains Mono"/>
        <family val="3"/>
      </rPr>
      <t xml:space="preserve">, </t>
    </r>
    <r>
      <rPr>
        <sz val="10"/>
        <color rgb="FF032F62"/>
        <rFont val="JetBrains Mono"/>
        <family val="3"/>
      </rPr>
      <t>'Deprived: Both'</t>
    </r>
    <r>
      <rPr>
        <sz val="10"/>
        <color rgb="FF24292E"/>
        <rFont val="JetBrains Mono"/>
        <family val="3"/>
      </rPr>
      <t>,</t>
    </r>
  </si>
  <si>
    <r>
      <t>'Saturated: Partner'</t>
    </r>
    <r>
      <rPr>
        <sz val="10"/>
        <color rgb="FF24292E"/>
        <rFont val="JetBrains Mono"/>
        <family val="3"/>
      </rPr>
      <t xml:space="preserve">, </t>
    </r>
    <r>
      <rPr>
        <sz val="10"/>
        <color rgb="FF032F62"/>
        <rFont val="JetBrains Mono"/>
        <family val="3"/>
      </rPr>
      <t>'Saturated: Me'</t>
    </r>
    <r>
      <rPr>
        <sz val="10"/>
        <color rgb="FF24292E"/>
        <rFont val="JetBrains Mono"/>
        <family val="3"/>
      </rPr>
      <t xml:space="preserve">, </t>
    </r>
    <r>
      <rPr>
        <sz val="10"/>
        <color rgb="FF032F62"/>
        <rFont val="JetBrains Mono"/>
        <family val="3"/>
      </rPr>
      <t>'Saturated: Both'</t>
    </r>
    <r>
      <rPr>
        <sz val="10"/>
        <color rgb="FF24292E"/>
        <rFont val="JetBrains Mono"/>
        <family val="3"/>
      </rPr>
      <t>,</t>
    </r>
  </si>
  <si>
    <r>
      <t>'Mixed: Me deprived,partner saturated'</t>
    </r>
    <r>
      <rPr>
        <sz val="10"/>
        <color rgb="FF24292E"/>
        <rFont val="JetBrains Mono"/>
        <family val="3"/>
      </rPr>
      <t xml:space="preserve">, </t>
    </r>
    <r>
      <rPr>
        <sz val="10"/>
        <color rgb="FF032F62"/>
        <rFont val="JetBrains Mono"/>
        <family val="3"/>
      </rPr>
      <t>'Mixed: Me saturated,partner deprived'</t>
    </r>
    <r>
      <rPr>
        <sz val="10"/>
        <color rgb="FF24292E"/>
        <rFont val="JetBrains Mono"/>
        <family val="3"/>
      </rPr>
      <t>,</t>
    </r>
  </si>
  <si>
    <t>6 to 10 times</t>
  </si>
  <si>
    <t>Whole Sample</t>
  </si>
  <si>
    <t>1945 (28.6%)</t>
  </si>
  <si>
    <t>1876 (27.59%)</t>
  </si>
  <si>
    <r>
      <t>Satisfied</t>
    </r>
    <r>
      <rPr>
        <sz val="8"/>
        <color theme="1"/>
        <rFont val="Aptos"/>
        <family val="2"/>
      </rPr>
      <t> </t>
    </r>
  </si>
  <si>
    <t>n = 1921 (28.3%)</t>
  </si>
  <si>
    <t>676 (35.19%)</t>
  </si>
  <si>
    <t>n = 1701 (25.0%)</t>
  </si>
  <si>
    <t>242 (14.23%)</t>
  </si>
  <si>
    <t>Deprived: one partner</t>
  </si>
  <si>
    <t xml:space="preserve"> n = 2470 (36.3%)</t>
  </si>
  <si>
    <t>239 (9.68%)</t>
  </si>
  <si>
    <t>Deprived: me (n = 1042)</t>
  </si>
  <si>
    <t>41 (3.93%)</t>
  </si>
  <si>
    <t>274 (26.3%)</t>
  </si>
  <si>
    <t>266 (25.53%)</t>
  </si>
  <si>
    <t>285 (27.35%)</t>
  </si>
  <si>
    <t>148 (14.2%)</t>
  </si>
  <si>
    <t>28 (2.69%)</t>
  </si>
  <si>
    <t>Deprived: partner (n = 1428)</t>
  </si>
  <si>
    <t>50 (3.5%)</t>
  </si>
  <si>
    <t>382 (26.75%)</t>
  </si>
  <si>
    <t>385 (26.96%)</t>
  </si>
  <si>
    <t>341 (23.88%)</t>
  </si>
  <si>
    <t>229 (16.04%)</t>
  </si>
  <si>
    <t>41 (2.87%)</t>
  </si>
  <si>
    <t>n = 45 (0.7%)</t>
  </si>
  <si>
    <t>Saturated: One Partner</t>
  </si>
  <si>
    <t>n = 333 (3.9%)</t>
  </si>
  <si>
    <t>139 (41.74%)</t>
  </si>
  <si>
    <t>Saturated: me (n = 142)</t>
  </si>
  <si>
    <t>2 (1.41%)</t>
  </si>
  <si>
    <t>19 (13.38%)</t>
  </si>
  <si>
    <t>27 (19.01%)</t>
  </si>
  <si>
    <t>42 (29.58%)</t>
  </si>
  <si>
    <t>36 (25.35%)</t>
  </si>
  <si>
    <t>16 (11.27%)</t>
  </si>
  <si>
    <t>Saturated: partner (n = 191)</t>
  </si>
  <si>
    <t>1 (0.52%)</t>
  </si>
  <si>
    <t>17 (8.9%)</t>
  </si>
  <si>
    <t>30 (15.71%)</t>
  </si>
  <si>
    <t>66 (34.55%)</t>
  </si>
  <si>
    <t>58 (30.37%)</t>
  </si>
  <si>
    <t>19 (9.95%)</t>
  </si>
  <si>
    <t>n = 330 (4.9%)</t>
  </si>
  <si>
    <t>Me deprived, partner saturated (n = 146)</t>
  </si>
  <si>
    <t>5 (3.42%)</t>
  </si>
  <si>
    <t>43 (29.45%)</t>
  </si>
  <si>
    <t>41 (28.08%)</t>
  </si>
  <si>
    <t>36 (24.66%)</t>
  </si>
  <si>
    <t>18 (12.33%)</t>
  </si>
  <si>
    <t>3 (2.05%)</t>
  </si>
  <si>
    <t>Me saturated, partner deprived (n = 184)</t>
  </si>
  <si>
    <t>8 (4.35%)</t>
  </si>
  <si>
    <t>52 (28.26%)</t>
  </si>
  <si>
    <t>55 (29.89%)</t>
  </si>
  <si>
    <t>42 (22.83%)</t>
  </si>
  <si>
    <t>24 (13.04%)</t>
  </si>
  <si>
    <t>3 (1.63%)</t>
  </si>
  <si>
    <r>
      <t> </t>
    </r>
    <r>
      <rPr>
        <sz val="10"/>
        <color theme="1"/>
        <rFont val="Aptos"/>
        <family val="2"/>
      </rPr>
      <t>I renamed the groups, I think this is more intuitive for the reader (and satisfied seems more correct than alligned, because they may report different frequencies )</t>
    </r>
  </si>
  <si>
    <t>Saturated: both partners</t>
  </si>
  <si>
    <t>Mixed: one deprived, one saturated</t>
  </si>
  <si>
    <t>Extraversion</t>
  </si>
  <si>
    <t>Openness</t>
  </si>
  <si>
    <t>Agreeableness</t>
  </si>
  <si>
    <t>Conscientiousness</t>
  </si>
  <si>
    <t>Neuroticism</t>
  </si>
  <si>
    <t>9,42</t>
  </si>
  <si>
    <t>10,10</t>
  </si>
  <si>
    <t>11,10</t>
  </si>
  <si>
    <t>11,06</t>
  </si>
  <si>
    <t>7,62</t>
  </si>
  <si>
    <t>9,33</t>
  </si>
  <si>
    <t>9,97</t>
  </si>
  <si>
    <t>11,00</t>
  </si>
  <si>
    <t>11,02</t>
  </si>
  <si>
    <t>7,96</t>
  </si>
  <si>
    <t>9,21</t>
  </si>
  <si>
    <t>9,74</t>
  </si>
  <si>
    <t>10,77</t>
  </si>
  <si>
    <t>10,93</t>
  </si>
  <si>
    <t>8,28</t>
  </si>
  <si>
    <t>9,29</t>
  </si>
  <si>
    <t>10,04</t>
  </si>
  <si>
    <t>10,69</t>
  </si>
  <si>
    <t>10,82</t>
  </si>
  <si>
    <t>8,24</t>
  </si>
  <si>
    <t>9,38</t>
  </si>
  <si>
    <t>11,07</t>
  </si>
  <si>
    <t>8,07</t>
  </si>
  <si>
    <t>10,06</t>
  </si>
  <si>
    <t>9,54</t>
  </si>
  <si>
    <t>10,52</t>
  </si>
  <si>
    <t>11,57</t>
  </si>
  <si>
    <t>7,79</t>
  </si>
  <si>
    <t>9,28</t>
  </si>
  <si>
    <t>9,90</t>
  </si>
  <si>
    <t>10,95</t>
  </si>
  <si>
    <t>10,94</t>
  </si>
  <si>
    <t>8,01</t>
  </si>
  <si>
    <t>9,51</t>
  </si>
  <si>
    <t>10,05</t>
  </si>
  <si>
    <t>11,09</t>
  </si>
  <si>
    <t>10,98</t>
  </si>
  <si>
    <t>7,95</t>
  </si>
  <si>
    <t>9,23</t>
  </si>
  <si>
    <t>9,80</t>
  </si>
  <si>
    <t>10,89</t>
  </si>
  <si>
    <t>10,90</t>
  </si>
  <si>
    <t>8,43</t>
  </si>
  <si>
    <t>Communication Quality</t>
  </si>
  <si>
    <t>Relationship Satisfaction</t>
  </si>
  <si>
    <t>Conflict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</si>
</sst>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Aptos"/>
      <family val="2"/>
    </font>
    <font>
      <sz val="11"/>
      <color theme="1"/>
      <name val="Calibri"/>
      <family val="2"/>
    </font>
    <font>
      <sz val="12"/>
      <color theme="1"/>
      <name val="Aptos"/>
      <family val="2"/>
    </font>
    <font>
      <sz val="10"/>
      <color rgb="FF24292E"/>
      <name val="JetBrains Mono"/>
      <family val="3"/>
    </font>
    <font>
      <sz val="10"/>
      <color rgb="FF032F62"/>
      <name val="JetBrains Mono"/>
      <family val="3"/>
    </font>
    <font>
      <sz val="10"/>
      <color theme="1"/>
      <name val="Aptos"/>
      <family val="2"/>
    </font>
    <font>
      <sz val="11"/>
      <color rgb="FF000000"/>
      <name val="Calibri"/>
      <family val="2"/>
    </font>
    <font>
      <sz val="10"/>
      <color rgb="FF6A737D"/>
      <name val="JetBrains Mono"/>
      <family val="3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4" xfId="0" applyFont="1" applyBorder="1" applyAlignment="1">
      <alignment horizontal="justify" vertical="center" wrapText="1"/>
    </xf>
    <xf numFmtId="0" fontId="6" fillId="0" borderId="0" xfId="0" applyFont="1" applyAlignment="1">
      <alignment vertical="center"/>
    </xf>
    <xf numFmtId="0" fontId="6" fillId="0" borderId="0" xfId="0" quotePrefix="1" applyFont="1" applyAlignment="1">
      <alignment vertical="center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2" fontId="0" fillId="0" borderId="4" xfId="0" applyNumberFormat="1" applyFont="1" applyBorder="1" applyAlignment="1">
      <alignment horizontal="center" vertical="center" wrapText="1"/>
    </xf>
    <xf numFmtId="164" fontId="0" fillId="0" borderId="4" xfId="0" applyNumberFormat="1" applyFont="1" applyBorder="1" applyAlignment="1">
      <alignment horizontal="center" vertical="center" wrapText="1"/>
    </xf>
    <xf numFmtId="1" fontId="0" fillId="0" borderId="4" xfId="0" applyNumberFormat="1" applyFont="1" applyBorder="1" applyAlignment="1">
      <alignment horizontal="center" vertical="center" wrapText="1"/>
    </xf>
    <xf numFmtId="2" fontId="0" fillId="0" borderId="0" xfId="0" applyNumberFormat="1" applyFont="1" applyAlignment="1">
      <alignment horizontal="center"/>
    </xf>
    <xf numFmtId="3" fontId="0" fillId="0" borderId="0" xfId="0" applyNumberFormat="1"/>
    <xf numFmtId="164" fontId="4" fillId="0" borderId="4" xfId="0" applyNumberFormat="1" applyFont="1" applyBorder="1" applyAlignment="1">
      <alignment horizontal="justify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4" fillId="0" borderId="1" xfId="0" applyFont="1" applyBorder="1"/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0" fontId="7" fillId="0" borderId="4" xfId="0" applyNumberFormat="1" applyFont="1" applyBorder="1" applyAlignment="1">
      <alignment horizontal="center" vertical="center" wrapText="1"/>
    </xf>
    <xf numFmtId="9" fontId="7" fillId="0" borderId="4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opLeftCell="A22" workbookViewId="0">
      <selection activeCell="B51" sqref="B51"/>
    </sheetView>
  </sheetViews>
  <sheetFormatPr defaultRowHeight="14.5"/>
  <cols>
    <col min="2" max="2" width="41.54296875" bestFit="1" customWidth="1"/>
    <col min="3" max="3" width="11.453125" bestFit="1" customWidth="1"/>
    <col min="4" max="4" width="12.453125" bestFit="1" customWidth="1"/>
    <col min="5" max="5" width="11.453125" bestFit="1" customWidth="1"/>
    <col min="6" max="7" width="12.453125" bestFit="1" customWidth="1"/>
    <col min="8" max="8" width="18.26953125" bestFit="1" customWidth="1"/>
    <col min="9" max="9" width="13.453125" customWidth="1"/>
  </cols>
  <sheetData>
    <row r="1" spans="2:10"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2:10">
      <c r="B2" t="s">
        <v>0</v>
      </c>
      <c r="C2" s="4" t="str">
        <f>_xlfn.CONCAT(Sheet2!E11," (",ROUND(Sheet2!E12,2),"%)")</f>
        <v>95 (1.4%)</v>
      </c>
      <c r="D2" s="4" t="str">
        <f>_xlfn.CONCAT(Sheet2!F11," (",ROUND(Sheet2!F12,2),"%)")</f>
        <v>1768 (26%)</v>
      </c>
      <c r="E2" s="4" t="str">
        <f>_xlfn.CONCAT(Sheet2!G11," (",ROUND(Sheet2!G12,2),"%)")</f>
        <v>1945 (28.6%)</v>
      </c>
      <c r="F2" s="4" t="str">
        <f>_xlfn.CONCAT(Sheet2!H11," (",ROUND(Sheet2!H12,2),"%)")</f>
        <v>1876 (27.59%)</v>
      </c>
      <c r="G2" s="4" t="str">
        <f>_xlfn.CONCAT(Sheet2!I11," (",ROUND(Sheet2!I12,2),"%)")</f>
        <v>1007 (14.81%)</v>
      </c>
      <c r="H2" s="4" t="str">
        <f>_xlfn.CONCAT(Sheet2!J11," (",ROUND(Sheet2!J12,2),"%)")</f>
        <v>109 (1.6%)</v>
      </c>
      <c r="I2">
        <f>SUM(Sheet2!E11:J11)</f>
        <v>6800</v>
      </c>
    </row>
    <row r="3" spans="2:10">
      <c r="B3" t="s">
        <v>1</v>
      </c>
      <c r="C3" s="4" t="str">
        <f>_xlfn.CONCAT(Sheet2!E13," (",ROUND(Sheet2!E19,2),"%)")</f>
        <v>6 (0.31%)</v>
      </c>
      <c r="D3" s="4" t="str">
        <f>_xlfn.CONCAT(Sheet2!F13," (",ROUND(Sheet2!F19,2),"%)")</f>
        <v>167 (8.69%)</v>
      </c>
      <c r="E3" s="4" t="str">
        <f>_xlfn.CONCAT(Sheet2!G13," (",ROUND(Sheet2!G19,2),"%)")</f>
        <v>382 (19.89%)</v>
      </c>
      <c r="F3" s="4" t="str">
        <f>_xlfn.CONCAT(Sheet2!H13," (",ROUND(Sheet2!H19,2),"%)")</f>
        <v>676 (35.19%)</v>
      </c>
      <c r="G3" s="4" t="str">
        <f>_xlfn.CONCAT(Sheet2!I13," (",ROUND(Sheet2!I19,2),"%)")</f>
        <v>589 (30.66%)</v>
      </c>
      <c r="H3" s="4" t="str">
        <f>_xlfn.CONCAT(Sheet2!J13," (",ROUND(Sheet2!J19,2),"%)")</f>
        <v>101 (5.26%)</v>
      </c>
      <c r="I3">
        <f>SUM(Sheet2!E13:J13)</f>
        <v>1921</v>
      </c>
      <c r="J3" s="3">
        <f>I3*100/$I$2</f>
        <v>28.25</v>
      </c>
    </row>
    <row r="4" spans="2:10">
      <c r="B4" s="1" t="s">
        <v>3</v>
      </c>
      <c r="C4" s="4" t="str">
        <f>_xlfn.CONCAT(Sheet2!E14," (",ROUND(Sheet2!E20,2),"%)")</f>
        <v>35 (1.42%)</v>
      </c>
      <c r="D4" s="4" t="str">
        <f>_xlfn.CONCAT(Sheet2!F14," (",ROUND(Sheet2!F20,2),"%)")</f>
        <v>640 (25.91%)</v>
      </c>
      <c r="E4" s="4" t="str">
        <f>_xlfn.CONCAT(Sheet2!G14," (",ROUND(Sheet2!G20,2),"%)")</f>
        <v>825 (33.4%)</v>
      </c>
      <c r="F4" s="4" t="str">
        <f>_xlfn.CONCAT(Sheet2!H14," (",ROUND(Sheet2!H20,2),"%)")</f>
        <v>731 (29.6%)</v>
      </c>
      <c r="G4" s="4" t="str">
        <f>_xlfn.CONCAT(Sheet2!I14," (",ROUND(Sheet2!I20,2),"%)")</f>
        <v>239 (9.68%)</v>
      </c>
      <c r="H4" s="4" t="str">
        <f>_xlfn.CONCAT(Sheet2!J14," (",ROUND(Sheet2!J20,2),"%)")</f>
        <v>0 (0%)</v>
      </c>
      <c r="I4">
        <f>SUM(Sheet2!E14:J14)</f>
        <v>2470</v>
      </c>
      <c r="J4" s="3">
        <f t="shared" ref="J4:J7" si="0">I4*100/$I$2</f>
        <v>36.323529411764703</v>
      </c>
    </row>
    <row r="5" spans="2:10">
      <c r="B5" s="1" t="s">
        <v>2</v>
      </c>
      <c r="C5" s="4" t="str">
        <f>_xlfn.CONCAT(Sheet2!E15," (",ROUND(Sheet2!E21,2),"%)")</f>
        <v>2 (0.6%)</v>
      </c>
      <c r="D5" s="4" t="str">
        <f>_xlfn.CONCAT(Sheet2!F15," (",ROUND(Sheet2!F21,2),"%)")</f>
        <v>29 (8.71%)</v>
      </c>
      <c r="E5" s="4" t="str">
        <f>_xlfn.CONCAT(Sheet2!G15," (",ROUND(Sheet2!G21,2),"%)")</f>
        <v>59 (17.72%)</v>
      </c>
      <c r="F5" s="4" t="str">
        <f>_xlfn.CONCAT(Sheet2!H15," (",ROUND(Sheet2!H21,2),"%)")</f>
        <v>139 (41.74%)</v>
      </c>
      <c r="G5" s="4" t="str">
        <f>_xlfn.CONCAT(Sheet2!I15," (",ROUND(Sheet2!I21,2),"%)")</f>
        <v>98 (29.43%)</v>
      </c>
      <c r="H5" s="4" t="str">
        <f>_xlfn.CONCAT(Sheet2!J15," (",ROUND(Sheet2!J21,2),"%)")</f>
        <v>6 (1.8%)</v>
      </c>
      <c r="I5">
        <f>SUM(Sheet2!E15:J15)</f>
        <v>333</v>
      </c>
      <c r="J5" s="3">
        <f t="shared" si="0"/>
        <v>4.8970588235294121</v>
      </c>
    </row>
    <row r="6" spans="2:10">
      <c r="B6" s="1" t="s">
        <v>4</v>
      </c>
      <c r="C6" s="4" t="str">
        <f>_xlfn.CONCAT(Sheet2!E16," (",ROUND(Sheet2!E22,2),"%)")</f>
        <v>46 (2.7%)</v>
      </c>
      <c r="D6" s="4" t="str">
        <f>_xlfn.CONCAT(Sheet2!F16," (",ROUND(Sheet2!F22,2),"%)")</f>
        <v>840 (49.38%)</v>
      </c>
      <c r="E6" s="4" t="str">
        <f>_xlfn.CONCAT(Sheet2!G16," (",ROUND(Sheet2!G22,2),"%)")</f>
        <v>536 (31.51%)</v>
      </c>
      <c r="F6" s="4" t="str">
        <f>_xlfn.CONCAT(Sheet2!H16," (",ROUND(Sheet2!H22,2),"%)")</f>
        <v>242 (14.23%)</v>
      </c>
      <c r="G6" s="4" t="str">
        <f>_xlfn.CONCAT(Sheet2!I16," (",ROUND(Sheet2!I22,2),"%)")</f>
        <v>37 (2.18%)</v>
      </c>
      <c r="H6" s="4" t="str">
        <f>_xlfn.CONCAT(Sheet2!J16," (",ROUND(Sheet2!J22,2),"%)")</f>
        <v>0 (0%)</v>
      </c>
      <c r="I6">
        <f>SUM(Sheet2!E16:J16)</f>
        <v>1701</v>
      </c>
      <c r="J6" s="3">
        <f t="shared" si="0"/>
        <v>25.014705882352942</v>
      </c>
    </row>
    <row r="7" spans="2:10">
      <c r="B7" s="1" t="s">
        <v>5</v>
      </c>
      <c r="C7" s="4" t="str">
        <f>_xlfn.CONCAT(Sheet2!E17," (",ROUND(Sheet2!E23,2),"%)")</f>
        <v>0 (0%)</v>
      </c>
      <c r="D7" s="4" t="str">
        <f>_xlfn.CONCAT(Sheet2!F17," (",ROUND(Sheet2!F23,2),"%)")</f>
        <v>3 (6.67%)</v>
      </c>
      <c r="E7" s="4" t="str">
        <f>_xlfn.CONCAT(Sheet2!G17," (",ROUND(Sheet2!G23,2),"%)")</f>
        <v>11 (24.44%)</v>
      </c>
      <c r="F7" s="4" t="str">
        <f>_xlfn.CONCAT(Sheet2!H17," (",ROUND(Sheet2!H23,2),"%)")</f>
        <v>15 (33.33%)</v>
      </c>
      <c r="G7" s="4" t="str">
        <f>_xlfn.CONCAT(Sheet2!I17," (",ROUND(Sheet2!I23,2),"%)")</f>
        <v>14 (31.11%)</v>
      </c>
      <c r="H7" s="4" t="str">
        <f>_xlfn.CONCAT(Sheet2!J17," (",ROUND(Sheet2!J23,2),"%)")</f>
        <v>2 (4.44%)</v>
      </c>
      <c r="I7">
        <f>SUM(Sheet2!E17:J17)</f>
        <v>45</v>
      </c>
      <c r="J7" s="3">
        <f t="shared" si="0"/>
        <v>0.66176470588235292</v>
      </c>
    </row>
    <row r="8" spans="2:10">
      <c r="B8" s="1" t="s">
        <v>6</v>
      </c>
      <c r="C8" s="4" t="str">
        <f>_xlfn.CONCAT(Sheet2!E18," (",ROUND(Sheet2!E24,2),"%)")</f>
        <v>6 (1.82%)</v>
      </c>
      <c r="D8" s="4" t="str">
        <f>_xlfn.CONCAT(Sheet2!F18," (",ROUND(Sheet2!F24,2),"%)")</f>
        <v>89 (26.97%)</v>
      </c>
      <c r="E8" s="4" t="str">
        <f>_xlfn.CONCAT(Sheet2!G18," (",ROUND(Sheet2!G24,2),"%)")</f>
        <v>132 (40%)</v>
      </c>
      <c r="F8" s="4" t="str">
        <f>_xlfn.CONCAT(Sheet2!H18," (",ROUND(Sheet2!H24,2),"%)")</f>
        <v>73 (22.12%)</v>
      </c>
      <c r="G8" s="4" t="str">
        <f>_xlfn.CONCAT(Sheet2!I18," (",ROUND(Sheet2!I24,2),"%)")</f>
        <v>30 (9.09%)</v>
      </c>
      <c r="H8" s="4" t="str">
        <f>_xlfn.CONCAT(Sheet2!J18," (",ROUND(Sheet2!J24,2),"%)")</f>
        <v>0 (0%)</v>
      </c>
      <c r="I8">
        <f>SUM(Sheet2!E18:J18)</f>
        <v>330</v>
      </c>
      <c r="J8" s="3">
        <f>I8*100/$I$2</f>
        <v>4.8529411764705879</v>
      </c>
    </row>
    <row r="9" spans="2:10">
      <c r="C9" s="3"/>
      <c r="D9" s="3"/>
      <c r="E9" s="3"/>
      <c r="F9" s="3"/>
      <c r="G9" s="3"/>
      <c r="H9" s="3"/>
    </row>
    <row r="10" spans="2:10">
      <c r="C10" t="s">
        <v>14</v>
      </c>
      <c r="D10" s="3" t="s">
        <v>15</v>
      </c>
      <c r="E10" s="3" t="s">
        <v>16</v>
      </c>
      <c r="F10" s="3"/>
      <c r="G10" s="3"/>
      <c r="H10" s="3"/>
    </row>
    <row r="11" spans="2:10">
      <c r="B11" t="s">
        <v>1</v>
      </c>
      <c r="C11" s="2">
        <v>0</v>
      </c>
      <c r="D11" s="2">
        <v>0</v>
      </c>
      <c r="E11" s="2">
        <v>0</v>
      </c>
      <c r="F11" s="3"/>
      <c r="G11" s="3"/>
      <c r="H11" s="3"/>
    </row>
    <row r="12" spans="2:10">
      <c r="B12" t="s">
        <v>3</v>
      </c>
      <c r="C12" s="2">
        <v>0.469028340080971</v>
      </c>
      <c r="D12" s="2">
        <v>0.71260298876805805</v>
      </c>
      <c r="E12" s="2">
        <v>0.16666666666666599</v>
      </c>
      <c r="F12" s="3"/>
      <c r="G12" s="3"/>
      <c r="H12" s="3"/>
    </row>
    <row r="13" spans="2:10">
      <c r="B13" t="s">
        <v>2</v>
      </c>
      <c r="C13" s="2">
        <v>-0.52552552552552501</v>
      </c>
      <c r="D13" s="2">
        <v>0.956234836090739</v>
      </c>
      <c r="E13" s="2">
        <v>-0.16666666666666599</v>
      </c>
      <c r="F13" s="3"/>
    </row>
    <row r="14" spans="2:10">
      <c r="B14" t="s">
        <v>4</v>
      </c>
      <c r="C14" s="2">
        <v>1.0571232608269601</v>
      </c>
      <c r="D14" s="2">
        <v>0.80515611544873</v>
      </c>
      <c r="E14" s="2">
        <v>0.999999999999999</v>
      </c>
      <c r="F14" s="3"/>
    </row>
    <row r="15" spans="2:10">
      <c r="B15" t="s">
        <v>5</v>
      </c>
      <c r="C15" s="2">
        <v>-1.5888888888888799</v>
      </c>
      <c r="D15" s="2">
        <v>1.3519764050272101</v>
      </c>
      <c r="E15" s="2">
        <v>-1.3333333333333299</v>
      </c>
    </row>
    <row r="16" spans="2:10">
      <c r="B16" t="s">
        <v>6</v>
      </c>
      <c r="C16" s="2">
        <v>4.4444444444444398E-2</v>
      </c>
      <c r="D16" s="2">
        <v>1.2520942945801199</v>
      </c>
      <c r="E16" s="2">
        <v>0</v>
      </c>
    </row>
    <row r="19" spans="1:9">
      <c r="C19" s="5" t="s">
        <v>7</v>
      </c>
      <c r="D19" s="5" t="s">
        <v>8</v>
      </c>
      <c r="E19" s="5" t="s">
        <v>9</v>
      </c>
      <c r="F19" s="5" t="s">
        <v>10</v>
      </c>
      <c r="G19" s="5" t="s">
        <v>11</v>
      </c>
      <c r="H19" s="5" t="s">
        <v>12</v>
      </c>
      <c r="I19" s="5" t="s">
        <v>32</v>
      </c>
    </row>
    <row r="20" spans="1:9">
      <c r="B20" s="5" t="s">
        <v>0</v>
      </c>
      <c r="C20" s="4" t="str">
        <f>_xlfn.CONCAT(Sheet2!P10," (",ROUND(Sheet2!P11,2),"%)")</f>
        <v>457 (3.36%)</v>
      </c>
      <c r="D20" s="4" t="str">
        <f>_xlfn.CONCAT(Sheet2!Q10," (",ROUND(Sheet2!Q11,2),"%)")</f>
        <v>3444 (25.32%)</v>
      </c>
      <c r="E20" s="4" t="str">
        <f>_xlfn.CONCAT(Sheet2!R10," (",ROUND(Sheet2!R11,2),"%)")</f>
        <v>3277 (24.1%)</v>
      </c>
      <c r="F20" s="4" t="str">
        <f>_xlfn.CONCAT(Sheet2!S10," (",ROUND(Sheet2!S11,2),"%)")</f>
        <v>3332 (24.5%)</v>
      </c>
      <c r="G20" s="4" t="str">
        <f>_xlfn.CONCAT(Sheet2!T10," (",ROUND(Sheet2!T11,2),"%)")</f>
        <v>2325 (17.1%)</v>
      </c>
      <c r="H20" s="4" t="str">
        <f>_xlfn.CONCAT(Sheet2!U10," (",ROUND(Sheet2!U11,2),"%)")</f>
        <v>765 (5.63%)</v>
      </c>
    </row>
    <row r="21" spans="1:9">
      <c r="B21" s="5" t="s">
        <v>17</v>
      </c>
      <c r="C21" s="5" t="str">
        <f>_xlfn.CONCAT(Sheet2!P12," (",ROUND(Sheet2!P21,2),"%)")</f>
        <v>23 (0.6%)</v>
      </c>
      <c r="D21" s="5" t="str">
        <f>_xlfn.CONCAT(Sheet2!Q12," (",ROUND(Sheet2!Q21,2),"%)")</f>
        <v>386 (10.05%)</v>
      </c>
      <c r="E21" s="5" t="str">
        <f>_xlfn.CONCAT(Sheet2!R12," (",ROUND(Sheet2!R21,2),"%)")</f>
        <v>698 (18.17%)</v>
      </c>
      <c r="F21" s="5" t="str">
        <f>_xlfn.CONCAT(Sheet2!S12," (",ROUND(Sheet2!S21,2),"%)")</f>
        <v>1104 (28.74%)</v>
      </c>
      <c r="G21" s="5" t="str">
        <f>_xlfn.CONCAT(Sheet2!T12," (",ROUND(Sheet2!T21,2),"%)")</f>
        <v>1100 (28.63%)</v>
      </c>
      <c r="H21" s="5" t="str">
        <f>_xlfn.CONCAT(Sheet2!U12," (",ROUND(Sheet2!U21,2),"%)")</f>
        <v>531 (13.82%)</v>
      </c>
    </row>
    <row r="22" spans="1:9">
      <c r="B22" s="5" t="s">
        <v>18</v>
      </c>
      <c r="C22" s="5" t="str">
        <f>_xlfn.CONCAT(Sheet2!P13," (",ROUND(Sheet2!P22,2),"%)")</f>
        <v>81 (3.89%)</v>
      </c>
      <c r="D22" s="5" t="str">
        <f>_xlfn.CONCAT(Sheet2!Q13," (",ROUND(Sheet2!Q22,2),"%)")</f>
        <v>549 (26.34%)</v>
      </c>
      <c r="E22" s="5" t="str">
        <f>_xlfn.CONCAT(Sheet2!R13," (",ROUND(Sheet2!R22,2),"%)")</f>
        <v>531 (25.48%)</v>
      </c>
      <c r="F22" s="5" t="str">
        <f>_xlfn.CONCAT(Sheet2!S13," (",ROUND(Sheet2!S22,2),"%)")</f>
        <v>570 (27.35%)</v>
      </c>
      <c r="G22" s="5" t="str">
        <f>_xlfn.CONCAT(Sheet2!T13," (",ROUND(Sheet2!T22,2),"%)")</f>
        <v>296 (14.2%)</v>
      </c>
      <c r="H22" s="5" t="str">
        <f>_xlfn.CONCAT(Sheet2!U13," (",ROUND(Sheet2!U22,2),"%)")</f>
        <v>57 (2.74%)</v>
      </c>
    </row>
    <row r="23" spans="1:9">
      <c r="B23" s="5" t="s">
        <v>19</v>
      </c>
      <c r="C23" s="5" t="str">
        <f>_xlfn.CONCAT(Sheet2!P14," (",ROUND(Sheet2!P23,2),"%)")</f>
        <v>224 (6.58%)</v>
      </c>
      <c r="D23" s="5" t="str">
        <f>_xlfn.CONCAT(Sheet2!Q14," (",ROUND(Sheet2!Q23,2),"%)")</f>
        <v>1471 (43.24%)</v>
      </c>
      <c r="E23" s="5" t="str">
        <f>_xlfn.CONCAT(Sheet2!R14," (",ROUND(Sheet2!R23,2),"%)")</f>
        <v>955 (28.07%)</v>
      </c>
      <c r="F23" s="5" t="str">
        <f>_xlfn.CONCAT(Sheet2!S14," (",ROUND(Sheet2!S23,2),"%)")</f>
        <v>576 (16.93%)</v>
      </c>
      <c r="G23" s="5" t="str">
        <f>_xlfn.CONCAT(Sheet2!T14," (",ROUND(Sheet2!T23,2),"%)")</f>
        <v>176 (5.17%)</v>
      </c>
      <c r="H23" s="5" t="str">
        <f>_xlfn.CONCAT(Sheet2!U14," (",ROUND(Sheet2!U23,2),"%)")</f>
        <v>0 (0%)</v>
      </c>
    </row>
    <row r="24" spans="1:9">
      <c r="B24" s="5" t="s">
        <v>20</v>
      </c>
      <c r="C24" s="5" t="str">
        <f>_xlfn.CONCAT(Sheet2!P15," (",ROUND(Sheet2!P24,2),"%)")</f>
        <v>9 (3.08%)</v>
      </c>
      <c r="D24" s="5" t="str">
        <f>_xlfn.CONCAT(Sheet2!Q15," (",ROUND(Sheet2!Q24,2),"%)")</f>
        <v>87 (29.79%)</v>
      </c>
      <c r="E24" s="5" t="str">
        <f>_xlfn.CONCAT(Sheet2!R15," (",ROUND(Sheet2!R24,2),"%)")</f>
        <v>83 (28.42%)</v>
      </c>
      <c r="F24" s="5" t="str">
        <f>_xlfn.CONCAT(Sheet2!S15," (",ROUND(Sheet2!S24,2),"%)")</f>
        <v>72 (24.66%)</v>
      </c>
      <c r="G24" s="5" t="str">
        <f>_xlfn.CONCAT(Sheet2!T15," (",ROUND(Sheet2!T24,2),"%)")</f>
        <v>35 (11.99%)</v>
      </c>
      <c r="H24" s="5" t="str">
        <f>_xlfn.CONCAT(Sheet2!U15," (",ROUND(Sheet2!U24,2),"%)")</f>
        <v>6 (2.05%)</v>
      </c>
    </row>
    <row r="25" spans="1:9">
      <c r="B25" s="5" t="s">
        <v>21</v>
      </c>
      <c r="C25" s="5" t="str">
        <f>_xlfn.CONCAT(Sheet2!P16," (",ROUND(Sheet2!P25,2),"%)")</f>
        <v>3 (1.06%)</v>
      </c>
      <c r="D25" s="5" t="str">
        <f>_xlfn.CONCAT(Sheet2!Q16," (",ROUND(Sheet2!Q25,2),"%)")</f>
        <v>39 (13.73%)</v>
      </c>
      <c r="E25" s="5" t="str">
        <f>_xlfn.CONCAT(Sheet2!R16," (",ROUND(Sheet2!R25,2),"%)")</f>
        <v>54 (19.01%)</v>
      </c>
      <c r="F25" s="5" t="str">
        <f>_xlfn.CONCAT(Sheet2!S16," (",ROUND(Sheet2!S25,2),"%)")</f>
        <v>84 (29.58%)</v>
      </c>
      <c r="G25" s="5" t="str">
        <f>_xlfn.CONCAT(Sheet2!T16," (",ROUND(Sheet2!T25,2),"%)")</f>
        <v>72 (25.35%)</v>
      </c>
      <c r="H25" s="5" t="str">
        <f>_xlfn.CONCAT(Sheet2!U16," (",ROUND(Sheet2!U25,2),"%)")</f>
        <v>32 (11.27%)</v>
      </c>
    </row>
    <row r="26" spans="1:9">
      <c r="B26" s="5" t="s">
        <v>22</v>
      </c>
      <c r="C26" s="5" t="str">
        <f>_xlfn.CONCAT(Sheet2!P17," (",ROUND(Sheet2!P26,2),"%)")</f>
        <v>0 (0%)</v>
      </c>
      <c r="D26" s="5" t="str">
        <f>_xlfn.CONCAT(Sheet2!Q17," (",ROUND(Sheet2!Q26,2),"%)")</f>
        <v>10 (11.11%)</v>
      </c>
      <c r="E26" s="5" t="str">
        <f>_xlfn.CONCAT(Sheet2!R17," (",ROUND(Sheet2!R26,2),"%)")</f>
        <v>17 (18.89%)</v>
      </c>
      <c r="F26" s="5" t="str">
        <f>_xlfn.CONCAT(Sheet2!S17," (",ROUND(Sheet2!S26,2),"%)")</f>
        <v>28 (31.11%)</v>
      </c>
      <c r="G26" s="5" t="str">
        <f>_xlfn.CONCAT(Sheet2!T17," (",ROUND(Sheet2!T26,2),"%)")</f>
        <v>24 (26.67%)</v>
      </c>
      <c r="H26" s="5" t="str">
        <f>_xlfn.CONCAT(Sheet2!U17," (",ROUND(Sheet2!U26,2),"%)")</f>
        <v>11 (12.22%)</v>
      </c>
    </row>
    <row r="27" spans="1:9">
      <c r="B27" s="5" t="s">
        <v>23</v>
      </c>
      <c r="C27" s="5" t="str">
        <f>_xlfn.CONCAT(Sheet2!P18," (",ROUND(Sheet2!P27,2),"%)")</f>
        <v>100 (3.5%)</v>
      </c>
      <c r="D27" s="5" t="str">
        <f>_xlfn.CONCAT(Sheet2!Q18," (",ROUND(Sheet2!Q27,2),"%)")</f>
        <v>765 (26.79%)</v>
      </c>
      <c r="E27" s="5" t="str">
        <f>_xlfn.CONCAT(Sheet2!R18," (",ROUND(Sheet2!R27,2),"%)")</f>
        <v>770 (26.96%)</v>
      </c>
      <c r="F27" s="5" t="str">
        <f>_xlfn.CONCAT(Sheet2!S18," (",ROUND(Sheet2!S27,2),"%)")</f>
        <v>682 (23.88%)</v>
      </c>
      <c r="G27" s="5" t="str">
        <f>_xlfn.CONCAT(Sheet2!T18," (",ROUND(Sheet2!T27,2),"%)")</f>
        <v>457 (16%)</v>
      </c>
      <c r="H27" s="5" t="str">
        <f>_xlfn.CONCAT(Sheet2!U18," (",ROUND(Sheet2!U27,2),"%)")</f>
        <v>82 (2.87%)</v>
      </c>
    </row>
    <row r="28" spans="1:9">
      <c r="B28" s="5" t="s">
        <v>24</v>
      </c>
      <c r="C28" s="5" t="str">
        <f>_xlfn.CONCAT(Sheet2!P19," (",ROUND(Sheet2!P28,2),"%)")</f>
        <v>2 (0.52%)</v>
      </c>
      <c r="D28" s="5" t="str">
        <f>_xlfn.CONCAT(Sheet2!Q19," (",ROUND(Sheet2!Q28,2),"%)")</f>
        <v>33 (8.64%)</v>
      </c>
      <c r="E28" s="5" t="str">
        <f>_xlfn.CONCAT(Sheet2!R19," (",ROUND(Sheet2!R28,2),"%)")</f>
        <v>60 (15.71%)</v>
      </c>
      <c r="F28" s="5" t="str">
        <f>_xlfn.CONCAT(Sheet2!S19," (",ROUND(Sheet2!S28,2),"%)")</f>
        <v>132 (34.55%)</v>
      </c>
      <c r="G28" s="5" t="str">
        <f>_xlfn.CONCAT(Sheet2!T19," (",ROUND(Sheet2!T28,2),"%)")</f>
        <v>116 (30.37%)</v>
      </c>
      <c r="H28" s="5" t="str">
        <f>_xlfn.CONCAT(Sheet2!U19," (",ROUND(Sheet2!U28,2),"%)")</f>
        <v>39 (10.21%)</v>
      </c>
    </row>
    <row r="29" spans="1:9">
      <c r="B29" s="5" t="s">
        <v>25</v>
      </c>
      <c r="C29" s="5" t="str">
        <f>_xlfn.CONCAT(Sheet2!P20," (",ROUND(Sheet2!P29,2),"%)")</f>
        <v>15 (4.08%)</v>
      </c>
      <c r="D29" s="5" t="str">
        <f>_xlfn.CONCAT(Sheet2!Q20," (",ROUND(Sheet2!Q29,2),"%)")</f>
        <v>104 (28.26%)</v>
      </c>
      <c r="E29" s="5" t="str">
        <f>_xlfn.CONCAT(Sheet2!R20," (",ROUND(Sheet2!R29,2),"%)")</f>
        <v>109 (29.62%)</v>
      </c>
      <c r="F29" s="5" t="str">
        <f>_xlfn.CONCAT(Sheet2!S20," (",ROUND(Sheet2!S29,2),"%)")</f>
        <v>84 (22.83%)</v>
      </c>
      <c r="G29" s="5" t="str">
        <f>_xlfn.CONCAT(Sheet2!T20," (",ROUND(Sheet2!T29,2),"%)")</f>
        <v>49 (13.32%)</v>
      </c>
      <c r="H29" s="5" t="str">
        <f>_xlfn.CONCAT(Sheet2!U20," (",ROUND(Sheet2!U29,2),"%)")</f>
        <v>7 (1.9%)</v>
      </c>
    </row>
    <row r="30" spans="1:9">
      <c r="C30" s="2"/>
      <c r="D30" s="2"/>
      <c r="E30" s="2"/>
      <c r="F30" s="2"/>
    </row>
    <row r="31" spans="1:9">
      <c r="A31" s="5"/>
      <c r="B31" s="5"/>
      <c r="C31" s="5" t="s">
        <v>7</v>
      </c>
      <c r="D31" s="5" t="s">
        <v>8</v>
      </c>
      <c r="E31" s="5" t="s">
        <v>9</v>
      </c>
      <c r="F31" s="5" t="s">
        <v>10</v>
      </c>
      <c r="G31" s="5" t="s">
        <v>11</v>
      </c>
      <c r="H31" s="5" t="s">
        <v>12</v>
      </c>
    </row>
    <row r="32" spans="1:9">
      <c r="A32" s="5"/>
      <c r="B32" s="5" t="str">
        <f>_xlfn.CONCAT("Whole Sample"," (n = ",Sheet2!K11,")")</f>
        <v>Whole Sample (n = 6800)</v>
      </c>
      <c r="C32" s="7" t="str">
        <f>_xlfn.CONCAT(Sheet2!E11," (",ROUND(Sheet2!E12,2),"%)")</f>
        <v>95 (1.4%)</v>
      </c>
      <c r="D32" s="7" t="str">
        <f>_xlfn.CONCAT(Sheet2!F11," (",ROUND(Sheet2!F12,2),"%)")</f>
        <v>1768 (26%)</v>
      </c>
      <c r="E32" s="7" t="str">
        <f>_xlfn.CONCAT(Sheet2!G11," (",ROUND(Sheet2!G12,2),"%)")</f>
        <v>1945 (28.6%)</v>
      </c>
      <c r="F32" s="7" t="str">
        <f>_xlfn.CONCAT(Sheet2!H11," (",ROUND(Sheet2!H12,2),"%)")</f>
        <v>1876 (27.59%)</v>
      </c>
      <c r="G32" s="7" t="str">
        <f>_xlfn.CONCAT(Sheet2!I11," (",ROUND(Sheet2!I12,2),"%)")</f>
        <v>1007 (14.81%)</v>
      </c>
      <c r="H32" s="7" t="str">
        <f>_xlfn.CONCAT(Sheet2!J11," (",ROUND(Sheet2!J12,2),"%)")</f>
        <v>109 (1.6%)</v>
      </c>
      <c r="I32" s="5"/>
    </row>
    <row r="33" spans="1:9">
      <c r="A33" s="5"/>
      <c r="B33" s="5" t="str">
        <f>_xlfn.CONCAT("Satisfied"," (n = ",Sheet2!K13,")")</f>
        <v>Satisfied (n = 1921)</v>
      </c>
      <c r="C33" s="7" t="str">
        <f>_xlfn.CONCAT(Sheet2!E13," (",ROUND(Sheet2!E19,2),"%)")</f>
        <v>6 (0.31%)</v>
      </c>
      <c r="D33" s="7" t="str">
        <f>_xlfn.CONCAT(Sheet2!F13," (",ROUND(Sheet2!F19,2),"%)")</f>
        <v>167 (8.69%)</v>
      </c>
      <c r="E33" s="7" t="str">
        <f>_xlfn.CONCAT(Sheet2!G13," (",ROUND(Sheet2!G19,2),"%)")</f>
        <v>382 (19.89%)</v>
      </c>
      <c r="F33" s="7" t="str">
        <f>_xlfn.CONCAT(Sheet2!H13," (",ROUND(Sheet2!H19,2),"%)")</f>
        <v>676 (35.19%)</v>
      </c>
      <c r="G33" s="7" t="str">
        <f>_xlfn.CONCAT(Sheet2!I13," (",ROUND(Sheet2!I19,2),"%)")</f>
        <v>589 (30.66%)</v>
      </c>
      <c r="H33" s="7" t="str">
        <f>_xlfn.CONCAT(Sheet2!J13," (",ROUND(Sheet2!J19,2),"%)")</f>
        <v>101 (5.26%)</v>
      </c>
      <c r="I33" s="5"/>
    </row>
    <row r="34" spans="1:9">
      <c r="A34" s="5"/>
      <c r="B34" s="5" t="str">
        <f>_xlfn.CONCAT("Deprived: both partners"," (n = ",Sheet2!K16,")")</f>
        <v>Deprived: both partners (n = 1701)</v>
      </c>
      <c r="C34" s="7" t="str">
        <f>_xlfn.CONCAT(Sheet2!E16," (",ROUND(Sheet2!E22,2),"%)")</f>
        <v>46 (2.7%)</v>
      </c>
      <c r="D34" s="7" t="str">
        <f>_xlfn.CONCAT(Sheet2!F16," (",ROUND(Sheet2!F22,2),"%)")</f>
        <v>840 (49.38%)</v>
      </c>
      <c r="E34" s="7" t="str">
        <f>_xlfn.CONCAT(Sheet2!G16," (",ROUND(Sheet2!G22,2),"%)")</f>
        <v>536 (31.51%)</v>
      </c>
      <c r="F34" s="7" t="str">
        <f>_xlfn.CONCAT(Sheet2!H16," (",ROUND(Sheet2!H22,2),"%)")</f>
        <v>242 (14.23%)</v>
      </c>
      <c r="G34" s="7" t="str">
        <f>_xlfn.CONCAT(Sheet2!I16," (",ROUND(Sheet2!I22,2),"%)")</f>
        <v>37 (2.18%)</v>
      </c>
      <c r="H34" s="7" t="str">
        <f>_xlfn.CONCAT(Sheet2!J16," (",ROUND(Sheet2!J22,2),"%)")</f>
        <v>0 (0%)</v>
      </c>
      <c r="I34" s="5"/>
    </row>
    <row r="35" spans="1:9">
      <c r="A35" s="5"/>
      <c r="B35" s="5" t="str">
        <f>_xlfn.CONCAT("Deprived: one partner"," (n = ",Sheet2!K14,")")</f>
        <v>Deprived: one partner (n = 2470)</v>
      </c>
      <c r="C35" s="7" t="str">
        <f>_xlfn.CONCAT(Sheet2!E14," (",ROUND(Sheet2!E20,2),"%)")</f>
        <v>35 (1.42%)</v>
      </c>
      <c r="D35" s="7" t="str">
        <f>_xlfn.CONCAT(Sheet2!F14," (",ROUND(Sheet2!F20,2),"%)")</f>
        <v>640 (25.91%)</v>
      </c>
      <c r="E35" s="7" t="str">
        <f>_xlfn.CONCAT(Sheet2!G14," (",ROUND(Sheet2!G20,2),"%)")</f>
        <v>825 (33.4%)</v>
      </c>
      <c r="F35" s="7" t="str">
        <f>_xlfn.CONCAT(Sheet2!H14," (",ROUND(Sheet2!H20,2),"%)")</f>
        <v>731 (29.6%)</v>
      </c>
      <c r="G35" s="7" t="str">
        <f>_xlfn.CONCAT(Sheet2!I14," (",ROUND(Sheet2!I20,2),"%)")</f>
        <v>239 (9.68%)</v>
      </c>
      <c r="H35" s="7" t="str">
        <f>_xlfn.CONCAT(Sheet2!J14," (",ROUND(Sheet2!J20,2),"%)")</f>
        <v>0 (0%)</v>
      </c>
      <c r="I35" s="5"/>
    </row>
    <row r="36" spans="1:9">
      <c r="A36" s="5"/>
      <c r="B36" s="5" t="str">
        <f>_xlfn.CONCAT("Deprived: me"," (n = ",Sheet2!V34,")")</f>
        <v>Deprived: me (n = 1042)</v>
      </c>
      <c r="C36" s="7" t="str">
        <f>_xlfn.CONCAT(Sheet2!P34," (",ROUND(Sheet2!P43,2),"%)")</f>
        <v>41 (3.93%)</v>
      </c>
      <c r="D36" s="7" t="str">
        <f>_xlfn.CONCAT(Sheet2!Q34," (",ROUND(Sheet2!Q43,2),"%)")</f>
        <v>274 (26.3%)</v>
      </c>
      <c r="E36" s="7" t="str">
        <f>_xlfn.CONCAT(Sheet2!R34," (",ROUND(Sheet2!R43,2),"%)")</f>
        <v>266 (25.53%)</v>
      </c>
      <c r="F36" s="7" t="str">
        <f>_xlfn.CONCAT(Sheet2!S34," (",ROUND(Sheet2!S43,2),"%)")</f>
        <v>285 (27.35%)</v>
      </c>
      <c r="G36" s="7" t="str">
        <f>_xlfn.CONCAT(Sheet2!T34," (",ROUND(Sheet2!T43,2),"%)")</f>
        <v>148 (14.2%)</v>
      </c>
      <c r="H36" s="7" t="str">
        <f>_xlfn.CONCAT(Sheet2!U34," (",ROUND(Sheet2!U43,2),"%)")</f>
        <v>28 (2.69%)</v>
      </c>
      <c r="I36" s="5"/>
    </row>
    <row r="37" spans="1:9">
      <c r="A37" s="5"/>
      <c r="B37" s="5" t="str">
        <f>_xlfn.CONCAT("Deprived: partner"," (n = ",Sheet2!V39,")")</f>
        <v>Deprived: partner (n = 1428)</v>
      </c>
      <c r="C37" s="7" t="str">
        <f>_xlfn.CONCAT(Sheet2!P39," (",ROUND(Sheet2!P48,2),"%)")</f>
        <v>50 (3.5%)</v>
      </c>
      <c r="D37" s="7" t="str">
        <f>_xlfn.CONCAT(Sheet2!Q39," (",ROUND(Sheet2!Q48,2),"%)")</f>
        <v>382 (26.75%)</v>
      </c>
      <c r="E37" s="7" t="str">
        <f>_xlfn.CONCAT(Sheet2!R39," (",ROUND(Sheet2!R48,2),"%)")</f>
        <v>385 (26.96%)</v>
      </c>
      <c r="F37" s="7" t="str">
        <f>_xlfn.CONCAT(Sheet2!S39," (",ROUND(Sheet2!S48,2),"%)")</f>
        <v>341 (23.88%)</v>
      </c>
      <c r="G37" s="7" t="str">
        <f>_xlfn.CONCAT(Sheet2!T39," (",ROUND(Sheet2!T48,2),"%)")</f>
        <v>229 (16.04%)</v>
      </c>
      <c r="H37" s="7" t="str">
        <f>_xlfn.CONCAT(Sheet2!U39," (",ROUND(Sheet2!U48,2),"%)")</f>
        <v>41 (2.87%)</v>
      </c>
      <c r="I37" s="5"/>
    </row>
    <row r="38" spans="1:9">
      <c r="A38" s="5"/>
      <c r="B38" s="5" t="str">
        <f>_xlfn.CONCAT("Saturated: both partners"," (n = ",Sheet2!V38,")")</f>
        <v>Saturated: both partners (n = 45)</v>
      </c>
      <c r="C38" s="7" t="str">
        <f>_xlfn.CONCAT(Sheet2!E17," (",ROUND(Sheet2!P47,2),"%)")</f>
        <v>0 (0%)</v>
      </c>
      <c r="D38" s="7" t="str">
        <f>_xlfn.CONCAT(Sheet2!F17," (",ROUND(Sheet2!Q47,2),"%)")</f>
        <v>3 (11.11%)</v>
      </c>
      <c r="E38" s="7" t="str">
        <f>_xlfn.CONCAT(Sheet2!G17," (",ROUND(Sheet2!R47,2),"%)")</f>
        <v>11 (20%)</v>
      </c>
      <c r="F38" s="7" t="str">
        <f>_xlfn.CONCAT(Sheet2!H17," (",ROUND(Sheet2!S47,2),"%)")</f>
        <v>15 (31.11%)</v>
      </c>
      <c r="G38" s="7" t="str">
        <f>_xlfn.CONCAT(Sheet2!I17," (",ROUND(Sheet2!T47,2),"%)")</f>
        <v>14 (26.67%)</v>
      </c>
      <c r="H38" s="7" t="str">
        <f>_xlfn.CONCAT(Sheet2!J17," (",ROUND(Sheet2!U47,2),"%)")</f>
        <v>2 (11.11%)</v>
      </c>
      <c r="I38" s="5"/>
    </row>
    <row r="39" spans="1:9">
      <c r="A39" s="5"/>
      <c r="B39" s="5" t="str">
        <f>_xlfn.CONCAT("Saturated: One Partner"," (n = ",Sheet2!K15,")")</f>
        <v>Saturated: One Partner (n = 333)</v>
      </c>
      <c r="C39" s="7" t="str">
        <f>_xlfn.CONCAT(Sheet2!E15," (",ROUND(Sheet2!E21,2),"%)")</f>
        <v>2 (0.6%)</v>
      </c>
      <c r="D39" s="7" t="str">
        <f>_xlfn.CONCAT(Sheet2!F15," (",ROUND(Sheet2!F21,2),"%)")</f>
        <v>29 (8.71%)</v>
      </c>
      <c r="E39" s="7" t="str">
        <f>_xlfn.CONCAT(Sheet2!G15," (",ROUND(Sheet2!G21,2),"%)")</f>
        <v>59 (17.72%)</v>
      </c>
      <c r="F39" s="7" t="str">
        <f>_xlfn.CONCAT(Sheet2!H15," (",ROUND(Sheet2!H21,2),"%)")</f>
        <v>139 (41.74%)</v>
      </c>
      <c r="G39" s="7" t="str">
        <f>_xlfn.CONCAT(Sheet2!I15," (",ROUND(Sheet2!I21,2),"%)")</f>
        <v>98 (29.43%)</v>
      </c>
      <c r="H39" s="7" t="str">
        <f>_xlfn.CONCAT(Sheet2!J15," (",ROUND(Sheet2!J21,2),"%)")</f>
        <v>6 (1.8%)</v>
      </c>
      <c r="I39" s="5"/>
    </row>
    <row r="40" spans="1:9">
      <c r="A40" s="5"/>
      <c r="B40" s="5" t="str">
        <f>_xlfn.CONCAT("Saturated: me"," (n = ",Sheet2!V37,")")</f>
        <v>Saturated: me (n = 142)</v>
      </c>
      <c r="C40" s="7" t="str">
        <f>_xlfn.CONCAT(Sheet2!P37," (",ROUND(Sheet2!P46,2),"%)")</f>
        <v>2 (1.41%)</v>
      </c>
      <c r="D40" s="7" t="str">
        <f>_xlfn.CONCAT(Sheet2!Q37," (",ROUND(Sheet2!Q46,2),"%)")</f>
        <v>19 (13.38%)</v>
      </c>
      <c r="E40" s="7" t="str">
        <f>_xlfn.CONCAT(Sheet2!R37," (",ROUND(Sheet2!R46,2),"%)")</f>
        <v>27 (19.01%)</v>
      </c>
      <c r="F40" s="7" t="str">
        <f>_xlfn.CONCAT(Sheet2!S37," (",ROUND(Sheet2!S46,2),"%)")</f>
        <v>42 (29.58%)</v>
      </c>
      <c r="G40" s="7" t="str">
        <f>_xlfn.CONCAT(Sheet2!T37," (",ROUND(Sheet2!T46,2),"%)")</f>
        <v>36 (25.35%)</v>
      </c>
      <c r="H40" s="7" t="str">
        <f>_xlfn.CONCAT(Sheet2!U37," (",ROUND(Sheet2!U46,2),"%)")</f>
        <v>16 (11.27%)</v>
      </c>
      <c r="I40" s="5"/>
    </row>
    <row r="41" spans="1:9">
      <c r="A41" s="5"/>
      <c r="B41" s="5" t="str">
        <f>_xlfn.CONCAT("Saturated: partner"," (n = ",Sheet2!V40,")")</f>
        <v>Saturated: partner (n = 191)</v>
      </c>
      <c r="C41" s="7" t="str">
        <f>_xlfn.CONCAT(Sheet2!P40," (",ROUND(Sheet2!P49,2),"%)")</f>
        <v>1 (0.52%)</v>
      </c>
      <c r="D41" s="7" t="str">
        <f>_xlfn.CONCAT(Sheet2!Q40," (",ROUND(Sheet2!Q49,2),"%)")</f>
        <v>17 (8.9%)</v>
      </c>
      <c r="E41" s="7" t="str">
        <f>_xlfn.CONCAT(Sheet2!R40," (",ROUND(Sheet2!R49,2),"%)")</f>
        <v>30 (15.71%)</v>
      </c>
      <c r="F41" s="7" t="str">
        <f>_xlfn.CONCAT(Sheet2!S40," (",ROUND(Sheet2!S49,2),"%)")</f>
        <v>66 (34.55%)</v>
      </c>
      <c r="G41" s="7" t="str">
        <f>_xlfn.CONCAT(Sheet2!T40," (",ROUND(Sheet2!T49,2),"%)")</f>
        <v>58 (30.37%)</v>
      </c>
      <c r="H41" s="7" t="str">
        <f>_xlfn.CONCAT(Sheet2!U40," (",ROUND(Sheet2!U49,2),"%)")</f>
        <v>19 (9.95%)</v>
      </c>
      <c r="I41" s="5"/>
    </row>
    <row r="42" spans="1:9">
      <c r="A42" s="5"/>
      <c r="B42" s="5" t="str">
        <f>_xlfn.CONCAT("Mixed: one deprived, one saturated"," (n = ",Sheet2!K18,")")</f>
        <v>Mixed: one deprived, one saturated (n = 330)</v>
      </c>
      <c r="C42" s="7" t="str">
        <f>_xlfn.CONCAT(Sheet2!E18," (",ROUND(Sheet2!E24,2),"%)")</f>
        <v>6 (1.82%)</v>
      </c>
      <c r="D42" s="7" t="str">
        <f>_xlfn.CONCAT(Sheet2!F18," (",ROUND(Sheet2!F24,2),"%)")</f>
        <v>89 (26.97%)</v>
      </c>
      <c r="E42" s="7" t="str">
        <f>_xlfn.CONCAT(Sheet2!G18," (",ROUND(Sheet2!G24,2),"%)")</f>
        <v>132 (40%)</v>
      </c>
      <c r="F42" s="7" t="str">
        <f>_xlfn.CONCAT(Sheet2!H18," (",ROUND(Sheet2!H24,2),"%)")</f>
        <v>73 (22.12%)</v>
      </c>
      <c r="G42" s="7" t="str">
        <f>_xlfn.CONCAT(Sheet2!I18," (",ROUND(Sheet2!I24,2),"%)")</f>
        <v>30 (9.09%)</v>
      </c>
      <c r="H42" s="7" t="str">
        <f>_xlfn.CONCAT(Sheet2!J18," (",ROUND(Sheet2!J24,2),"%)")</f>
        <v>0 (0%)</v>
      </c>
      <c r="I42" s="5"/>
    </row>
    <row r="43" spans="1:9">
      <c r="A43" s="5"/>
      <c r="B43" s="5" t="str">
        <f>_xlfn.CONCAT("Me deprived, partner saturated"," (n = ",Sheet2!V36,")")</f>
        <v>Me deprived, partner saturated (n = 146)</v>
      </c>
      <c r="C43" s="7" t="str">
        <f>_xlfn.CONCAT(Sheet2!P36," (",ROUND(Sheet2!P45,2),"%)")</f>
        <v>5 (3.42%)</v>
      </c>
      <c r="D43" s="7" t="str">
        <f>_xlfn.CONCAT(Sheet2!Q36," (",ROUND(Sheet2!Q45,2),"%)")</f>
        <v>43 (29.45%)</v>
      </c>
      <c r="E43" s="7" t="str">
        <f>_xlfn.CONCAT(Sheet2!R36," (",ROUND(Sheet2!R45,2),"%)")</f>
        <v>41 (28.08%)</v>
      </c>
      <c r="F43" s="7" t="str">
        <f>_xlfn.CONCAT(Sheet2!S36," (",ROUND(Sheet2!S45,2),"%)")</f>
        <v>36 (24.66%)</v>
      </c>
      <c r="G43" s="7" t="str">
        <f>_xlfn.CONCAT(Sheet2!T36," (",ROUND(Sheet2!T45,2),"%)")</f>
        <v>18 (12.33%)</v>
      </c>
      <c r="H43" s="7" t="str">
        <f>_xlfn.CONCAT(Sheet2!U36," (",ROUND(Sheet2!U45,2),"%)")</f>
        <v>3 (2.05%)</v>
      </c>
      <c r="I43" s="5"/>
    </row>
    <row r="44" spans="1:9">
      <c r="A44" s="5"/>
      <c r="B44" s="5" t="str">
        <f>_xlfn.CONCAT("Me saturated, partner deprived"," (n = ",Sheet2!V41,")")</f>
        <v>Me saturated, partner deprived (n = 184)</v>
      </c>
      <c r="C44" s="7" t="str">
        <f>_xlfn.CONCAT(Sheet2!P41," (",ROUND(Sheet2!P50,2),"%)")</f>
        <v>8 (4.35%)</v>
      </c>
      <c r="D44" s="7" t="str">
        <f>_xlfn.CONCAT(Sheet2!Q41," (",ROUND(Sheet2!Q50,2),"%)")</f>
        <v>52 (28.26%)</v>
      </c>
      <c r="E44" s="7" t="str">
        <f>_xlfn.CONCAT(Sheet2!R41," (",ROUND(Sheet2!R50,2),"%)")</f>
        <v>55 (29.89%)</v>
      </c>
      <c r="F44" s="7" t="str">
        <f>_xlfn.CONCAT(Sheet2!S41," (",ROUND(Sheet2!S50,2),"%)")</f>
        <v>42 (22.83%)</v>
      </c>
      <c r="G44" s="7" t="str">
        <f>_xlfn.CONCAT(Sheet2!T41," (",ROUND(Sheet2!T50,2),"%)")</f>
        <v>24 (13.04%)</v>
      </c>
      <c r="H44" s="7" t="str">
        <f>_xlfn.CONCAT(Sheet2!U41," (",ROUND(Sheet2!U50,2),"%)")</f>
        <v>3 (1.63%)</v>
      </c>
      <c r="I44" s="5"/>
    </row>
    <row r="45" spans="1:9">
      <c r="A45" s="5"/>
      <c r="B45" s="5"/>
      <c r="C45" s="5"/>
    </row>
    <row r="46" spans="1:9">
      <c r="A46" s="5"/>
      <c r="B46" s="5"/>
      <c r="C46" s="5"/>
    </row>
    <row r="47" spans="1:9">
      <c r="A47" s="5"/>
      <c r="B47" s="5"/>
      <c r="C47" s="5"/>
    </row>
    <row r="48" spans="1:9">
      <c r="A48" s="5"/>
      <c r="B48" s="5"/>
      <c r="C48" s="5"/>
    </row>
    <row r="49" spans="1:3">
      <c r="A49" s="5"/>
      <c r="B49" s="5"/>
      <c r="C49" s="5"/>
    </row>
    <row r="50" spans="1:3">
      <c r="A50" s="5"/>
      <c r="B50" s="5"/>
      <c r="C50" s="5"/>
    </row>
    <row r="51" spans="1:3">
      <c r="C51" s="5"/>
    </row>
    <row r="52" spans="1:3">
      <c r="B52" s="6"/>
    </row>
    <row r="53" spans="1:3">
      <c r="B53" s="6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75B23-68A5-4470-87E7-2F2D0D7D6C48}">
  <dimension ref="B4:Y57"/>
  <sheetViews>
    <sheetView topLeftCell="K16" workbookViewId="0">
      <selection activeCell="P50" sqref="P50:U50"/>
    </sheetView>
  </sheetViews>
  <sheetFormatPr defaultRowHeight="14.5"/>
  <cols>
    <col min="4" max="4" width="21.7265625" customWidth="1"/>
    <col min="15" max="15" width="23.453125" bestFit="1" customWidth="1"/>
  </cols>
  <sheetData>
    <row r="4" spans="2:22">
      <c r="F4" s="3"/>
    </row>
    <row r="5" spans="2:22">
      <c r="F5" s="3"/>
    </row>
    <row r="6" spans="2:22">
      <c r="F6" s="3"/>
    </row>
    <row r="7" spans="2:22">
      <c r="F7" s="3"/>
    </row>
    <row r="8" spans="2:22">
      <c r="F8" s="3"/>
    </row>
    <row r="9" spans="2:22">
      <c r="F9" s="3"/>
      <c r="P9">
        <v>0</v>
      </c>
      <c r="Q9">
        <v>1</v>
      </c>
      <c r="R9">
        <v>2</v>
      </c>
      <c r="S9">
        <v>3</v>
      </c>
      <c r="T9">
        <v>4</v>
      </c>
      <c r="U9">
        <v>5</v>
      </c>
    </row>
    <row r="10" spans="2:22">
      <c r="E10">
        <v>0</v>
      </c>
      <c r="F10">
        <v>1</v>
      </c>
      <c r="G10">
        <v>2</v>
      </c>
      <c r="H10">
        <v>3</v>
      </c>
      <c r="I10">
        <v>4</v>
      </c>
      <c r="J10">
        <v>5</v>
      </c>
      <c r="P10">
        <v>457</v>
      </c>
      <c r="Q10">
        <v>3444</v>
      </c>
      <c r="R10">
        <v>3277</v>
      </c>
      <c r="S10">
        <v>3332</v>
      </c>
      <c r="T10">
        <v>2325</v>
      </c>
      <c r="U10">
        <v>765</v>
      </c>
    </row>
    <row r="11" spans="2:22">
      <c r="D11" t="s">
        <v>13</v>
      </c>
      <c r="E11">
        <v>95</v>
      </c>
      <c r="F11">
        <v>1768</v>
      </c>
      <c r="G11">
        <v>1945</v>
      </c>
      <c r="H11">
        <v>1876</v>
      </c>
      <c r="I11">
        <v>1007</v>
      </c>
      <c r="J11">
        <v>109</v>
      </c>
      <c r="K11">
        <f>SUM(E11:J11)</f>
        <v>6800</v>
      </c>
      <c r="P11" s="3">
        <v>3.36029411764705</v>
      </c>
      <c r="Q11" s="3">
        <v>25.323529411764699</v>
      </c>
      <c r="R11" s="3">
        <v>24.095588235294102</v>
      </c>
      <c r="S11" s="3">
        <v>24.5</v>
      </c>
      <c r="T11" s="3">
        <v>17.095588235294102</v>
      </c>
      <c r="U11" s="3">
        <v>5.625</v>
      </c>
    </row>
    <row r="12" spans="2:22">
      <c r="E12" s="3">
        <v>1.3970588235294099</v>
      </c>
      <c r="F12" s="3">
        <v>26</v>
      </c>
      <c r="G12" s="3">
        <v>28.602941176470502</v>
      </c>
      <c r="H12" s="3">
        <v>27.588235294117599</v>
      </c>
      <c r="I12" s="3">
        <v>14.808823529411701</v>
      </c>
      <c r="J12" s="3">
        <v>1.6029411764705801</v>
      </c>
      <c r="O12" t="s">
        <v>17</v>
      </c>
      <c r="P12">
        <v>23</v>
      </c>
      <c r="Q12">
        <v>386</v>
      </c>
      <c r="R12">
        <v>698</v>
      </c>
      <c r="S12">
        <v>1104</v>
      </c>
      <c r="T12">
        <v>1100</v>
      </c>
      <c r="U12">
        <v>531</v>
      </c>
      <c r="V12">
        <f>SUM(P12:U12)</f>
        <v>3842</v>
      </c>
    </row>
    <row r="13" spans="2:22">
      <c r="D13" t="s">
        <v>1</v>
      </c>
      <c r="E13">
        <v>6</v>
      </c>
      <c r="F13">
        <v>167</v>
      </c>
      <c r="G13">
        <v>382</v>
      </c>
      <c r="H13">
        <v>676</v>
      </c>
      <c r="I13">
        <v>589</v>
      </c>
      <c r="J13">
        <v>101</v>
      </c>
      <c r="K13">
        <f>SUM(E13:J13)</f>
        <v>1921</v>
      </c>
      <c r="O13" t="s">
        <v>18</v>
      </c>
      <c r="P13">
        <v>81</v>
      </c>
      <c r="Q13">
        <v>549</v>
      </c>
      <c r="R13">
        <v>531</v>
      </c>
      <c r="S13">
        <v>570</v>
      </c>
      <c r="T13">
        <v>296</v>
      </c>
      <c r="U13">
        <v>57</v>
      </c>
      <c r="V13">
        <f t="shared" ref="V13:V20" si="0">SUM(P13:U13)</f>
        <v>2084</v>
      </c>
    </row>
    <row r="14" spans="2:22">
      <c r="D14" t="s">
        <v>3</v>
      </c>
      <c r="E14">
        <v>35</v>
      </c>
      <c r="F14">
        <v>640</v>
      </c>
      <c r="G14">
        <v>825</v>
      </c>
      <c r="H14">
        <v>731</v>
      </c>
      <c r="I14">
        <v>239</v>
      </c>
      <c r="J14">
        <v>0</v>
      </c>
      <c r="K14">
        <f t="shared" ref="K14:K18" si="1">SUM(E14:J14)</f>
        <v>2470</v>
      </c>
      <c r="O14" t="s">
        <v>19</v>
      </c>
      <c r="P14">
        <v>224</v>
      </c>
      <c r="Q14">
        <v>1471</v>
      </c>
      <c r="R14">
        <v>955</v>
      </c>
      <c r="S14">
        <v>576</v>
      </c>
      <c r="T14">
        <v>176</v>
      </c>
      <c r="U14">
        <v>0</v>
      </c>
      <c r="V14">
        <f t="shared" si="0"/>
        <v>3402</v>
      </c>
    </row>
    <row r="15" spans="2:22">
      <c r="D15" t="s">
        <v>2</v>
      </c>
      <c r="E15">
        <v>2</v>
      </c>
      <c r="F15">
        <v>29</v>
      </c>
      <c r="G15">
        <v>59</v>
      </c>
      <c r="H15">
        <v>139</v>
      </c>
      <c r="I15">
        <v>98</v>
      </c>
      <c r="J15">
        <v>6</v>
      </c>
      <c r="K15">
        <f t="shared" si="1"/>
        <v>333</v>
      </c>
      <c r="O15" t="s">
        <v>20</v>
      </c>
      <c r="P15">
        <v>9</v>
      </c>
      <c r="Q15">
        <v>87</v>
      </c>
      <c r="R15">
        <v>83</v>
      </c>
      <c r="S15">
        <v>72</v>
      </c>
      <c r="T15">
        <v>35</v>
      </c>
      <c r="U15">
        <v>6</v>
      </c>
      <c r="V15">
        <f t="shared" si="0"/>
        <v>292</v>
      </c>
    </row>
    <row r="16" spans="2:22">
      <c r="B16">
        <v>6800</v>
      </c>
      <c r="D16" t="s">
        <v>4</v>
      </c>
      <c r="E16">
        <v>46</v>
      </c>
      <c r="F16">
        <v>840</v>
      </c>
      <c r="G16">
        <v>536</v>
      </c>
      <c r="H16">
        <v>242</v>
      </c>
      <c r="I16">
        <v>37</v>
      </c>
      <c r="J16">
        <v>0</v>
      </c>
      <c r="K16">
        <f t="shared" si="1"/>
        <v>1701</v>
      </c>
      <c r="M16">
        <f>B16*2</f>
        <v>13600</v>
      </c>
      <c r="O16" t="s">
        <v>21</v>
      </c>
      <c r="P16">
        <v>3</v>
      </c>
      <c r="Q16">
        <v>39</v>
      </c>
      <c r="R16">
        <v>54</v>
      </c>
      <c r="S16">
        <v>84</v>
      </c>
      <c r="T16">
        <v>72</v>
      </c>
      <c r="U16">
        <v>32</v>
      </c>
      <c r="V16">
        <f t="shared" si="0"/>
        <v>284</v>
      </c>
    </row>
    <row r="17" spans="4:25">
      <c r="D17" t="s">
        <v>5</v>
      </c>
      <c r="E17">
        <v>0</v>
      </c>
      <c r="F17">
        <v>3</v>
      </c>
      <c r="G17">
        <v>11</v>
      </c>
      <c r="H17">
        <v>15</v>
      </c>
      <c r="I17">
        <v>14</v>
      </c>
      <c r="J17">
        <v>2</v>
      </c>
      <c r="K17">
        <f t="shared" si="1"/>
        <v>45</v>
      </c>
      <c r="O17" t="s">
        <v>22</v>
      </c>
      <c r="P17">
        <v>0</v>
      </c>
      <c r="Q17">
        <v>10</v>
      </c>
      <c r="R17">
        <v>17</v>
      </c>
      <c r="S17">
        <v>28</v>
      </c>
      <c r="T17">
        <v>24</v>
      </c>
      <c r="U17">
        <v>11</v>
      </c>
      <c r="V17">
        <f t="shared" si="0"/>
        <v>90</v>
      </c>
    </row>
    <row r="18" spans="4:25">
      <c r="D18" t="s">
        <v>6</v>
      </c>
      <c r="E18">
        <v>6</v>
      </c>
      <c r="F18">
        <v>89</v>
      </c>
      <c r="G18">
        <v>132</v>
      </c>
      <c r="H18">
        <v>73</v>
      </c>
      <c r="I18">
        <v>30</v>
      </c>
      <c r="J18">
        <v>0</v>
      </c>
      <c r="K18">
        <f t="shared" si="1"/>
        <v>330</v>
      </c>
      <c r="O18" t="s">
        <v>23</v>
      </c>
      <c r="P18">
        <v>100</v>
      </c>
      <c r="Q18">
        <v>765</v>
      </c>
      <c r="R18">
        <v>770</v>
      </c>
      <c r="S18">
        <v>682</v>
      </c>
      <c r="T18">
        <v>457</v>
      </c>
      <c r="U18">
        <v>82</v>
      </c>
      <c r="V18">
        <f t="shared" si="0"/>
        <v>2856</v>
      </c>
    </row>
    <row r="19" spans="4:25">
      <c r="D19" t="s">
        <v>1</v>
      </c>
      <c r="E19" s="3">
        <f t="shared" ref="E19:J19" si="2">E13*100/$K$13</f>
        <v>0.31233732431025507</v>
      </c>
      <c r="F19" s="3">
        <f t="shared" si="2"/>
        <v>8.693388859968767</v>
      </c>
      <c r="G19" s="3">
        <f t="shared" si="2"/>
        <v>19.885476314419574</v>
      </c>
      <c r="H19" s="3">
        <f t="shared" si="2"/>
        <v>35.190005205622072</v>
      </c>
      <c r="I19" s="3">
        <f t="shared" si="2"/>
        <v>30.661114003123373</v>
      </c>
      <c r="J19" s="3">
        <f t="shared" si="2"/>
        <v>5.2576782925559602</v>
      </c>
      <c r="O19" t="s">
        <v>24</v>
      </c>
      <c r="P19">
        <v>2</v>
      </c>
      <c r="Q19">
        <v>33</v>
      </c>
      <c r="R19">
        <v>60</v>
      </c>
      <c r="S19">
        <v>132</v>
      </c>
      <c r="T19">
        <v>116</v>
      </c>
      <c r="U19">
        <v>39</v>
      </c>
      <c r="V19">
        <f t="shared" si="0"/>
        <v>382</v>
      </c>
    </row>
    <row r="20" spans="4:25">
      <c r="D20" t="s">
        <v>3</v>
      </c>
      <c r="E20" s="3">
        <f t="shared" ref="E20:J20" si="3">E14*100/$K$14</f>
        <v>1.417004048582996</v>
      </c>
      <c r="F20" s="3">
        <f t="shared" si="3"/>
        <v>25.910931174089068</v>
      </c>
      <c r="G20" s="3">
        <f t="shared" si="3"/>
        <v>33.400809716599191</v>
      </c>
      <c r="H20" s="3">
        <f t="shared" si="3"/>
        <v>29.595141700404859</v>
      </c>
      <c r="I20" s="3">
        <f t="shared" si="3"/>
        <v>9.6761133603238871</v>
      </c>
      <c r="J20" s="3">
        <f t="shared" si="3"/>
        <v>0</v>
      </c>
      <c r="O20" t="s">
        <v>25</v>
      </c>
      <c r="P20">
        <v>15</v>
      </c>
      <c r="Q20">
        <v>104</v>
      </c>
      <c r="R20">
        <v>109</v>
      </c>
      <c r="S20">
        <v>84</v>
      </c>
      <c r="T20">
        <v>49</v>
      </c>
      <c r="U20">
        <v>7</v>
      </c>
      <c r="V20">
        <f t="shared" si="0"/>
        <v>368</v>
      </c>
    </row>
    <row r="21" spans="4:25">
      <c r="D21" t="s">
        <v>2</v>
      </c>
      <c r="E21" s="3">
        <f t="shared" ref="E21:J21" si="4">E15*100/$K$15</f>
        <v>0.60060060060060061</v>
      </c>
      <c r="F21" s="3">
        <f t="shared" si="4"/>
        <v>8.7087087087087092</v>
      </c>
      <c r="G21" s="3">
        <f t="shared" si="4"/>
        <v>17.717717717717719</v>
      </c>
      <c r="H21" s="3">
        <f t="shared" si="4"/>
        <v>41.741741741741741</v>
      </c>
      <c r="I21" s="3">
        <f t="shared" si="4"/>
        <v>29.42942942942943</v>
      </c>
      <c r="J21" s="3">
        <f t="shared" si="4"/>
        <v>1.8018018018018018</v>
      </c>
      <c r="O21" t="s">
        <v>17</v>
      </c>
      <c r="P21" s="3">
        <f>P12*100/$V$12</f>
        <v>0.59864653826132219</v>
      </c>
      <c r="Q21" s="3">
        <f t="shared" ref="Q21:U21" si="5">Q12*100/$V$12</f>
        <v>10.046850598646538</v>
      </c>
      <c r="R21" s="3">
        <f t="shared" si="5"/>
        <v>18.167621030713171</v>
      </c>
      <c r="S21" s="3">
        <f t="shared" si="5"/>
        <v>28.735033836543465</v>
      </c>
      <c r="T21" s="3">
        <f t="shared" si="5"/>
        <v>28.630921395106714</v>
      </c>
      <c r="U21" s="3">
        <f t="shared" si="5"/>
        <v>13.820926600728788</v>
      </c>
    </row>
    <row r="22" spans="4:25">
      <c r="D22" t="s">
        <v>4</v>
      </c>
      <c r="E22" s="3">
        <f t="shared" ref="E22:J22" si="6">E16*100/$K$16</f>
        <v>2.7042915931804821</v>
      </c>
      <c r="F22" s="3">
        <f t="shared" si="6"/>
        <v>49.382716049382715</v>
      </c>
      <c r="G22" s="3">
        <f t="shared" si="6"/>
        <v>31.510875955320401</v>
      </c>
      <c r="H22" s="3">
        <f t="shared" si="6"/>
        <v>14.22692533803645</v>
      </c>
      <c r="I22" s="3">
        <f t="shared" si="6"/>
        <v>2.1751910640799528</v>
      </c>
      <c r="J22" s="3">
        <f t="shared" si="6"/>
        <v>0</v>
      </c>
      <c r="O22" t="s">
        <v>18</v>
      </c>
      <c r="P22" s="3">
        <f>P13*100/$V$13</f>
        <v>3.886756238003839</v>
      </c>
      <c r="Q22" s="3">
        <f t="shared" ref="Q22:U22" si="7">Q13*100/$V$13</f>
        <v>26.343570057581573</v>
      </c>
      <c r="R22" s="3">
        <f t="shared" si="7"/>
        <v>25.479846449136275</v>
      </c>
      <c r="S22" s="3">
        <f t="shared" si="7"/>
        <v>27.351247600767753</v>
      </c>
      <c r="T22" s="3">
        <f t="shared" si="7"/>
        <v>14.203454894433781</v>
      </c>
      <c r="U22" s="3">
        <f t="shared" si="7"/>
        <v>2.7351247600767756</v>
      </c>
    </row>
    <row r="23" spans="4:25">
      <c r="D23" t="s">
        <v>5</v>
      </c>
      <c r="E23" s="3">
        <f t="shared" ref="E23:J23" si="8">E17*100/$K$17</f>
        <v>0</v>
      </c>
      <c r="F23" s="3">
        <f t="shared" si="8"/>
        <v>6.666666666666667</v>
      </c>
      <c r="G23" s="3">
        <f t="shared" si="8"/>
        <v>24.444444444444443</v>
      </c>
      <c r="H23" s="3">
        <f t="shared" si="8"/>
        <v>33.333333333333336</v>
      </c>
      <c r="I23" s="3">
        <f t="shared" si="8"/>
        <v>31.111111111111111</v>
      </c>
      <c r="J23" s="3">
        <f t="shared" si="8"/>
        <v>4.4444444444444446</v>
      </c>
      <c r="O23" t="s">
        <v>19</v>
      </c>
      <c r="P23" s="3">
        <f>P14*100/$V$14</f>
        <v>6.5843621399176957</v>
      </c>
      <c r="Q23" s="3">
        <f t="shared" ref="Q23:U23" si="9">Q14*100/$V$14</f>
        <v>43.239271017048793</v>
      </c>
      <c r="R23" s="3">
        <f t="shared" si="9"/>
        <v>28.071722516166961</v>
      </c>
      <c r="S23" s="3">
        <f t="shared" si="9"/>
        <v>16.93121693121693</v>
      </c>
      <c r="T23" s="3">
        <f t="shared" si="9"/>
        <v>5.1734273956496182</v>
      </c>
      <c r="U23" s="3">
        <f t="shared" si="9"/>
        <v>0</v>
      </c>
    </row>
    <row r="24" spans="4:25">
      <c r="D24" t="s">
        <v>6</v>
      </c>
      <c r="E24" s="3">
        <f t="shared" ref="E24:J24" si="10">E18*100/$K$18</f>
        <v>1.8181818181818181</v>
      </c>
      <c r="F24" s="3">
        <f t="shared" si="10"/>
        <v>26.969696969696969</v>
      </c>
      <c r="G24" s="3">
        <f t="shared" si="10"/>
        <v>40</v>
      </c>
      <c r="H24" s="3">
        <f t="shared" si="10"/>
        <v>22.121212121212121</v>
      </c>
      <c r="I24" s="3">
        <f t="shared" si="10"/>
        <v>9.0909090909090917</v>
      </c>
      <c r="J24" s="3">
        <f t="shared" si="10"/>
        <v>0</v>
      </c>
      <c r="O24" t="s">
        <v>20</v>
      </c>
      <c r="P24" s="3">
        <f>P15*100/$V$15</f>
        <v>3.0821917808219177</v>
      </c>
      <c r="Q24" s="3">
        <f t="shared" ref="Q24:U24" si="11">Q15*100/$V$15</f>
        <v>29.794520547945204</v>
      </c>
      <c r="R24" s="3">
        <f t="shared" si="11"/>
        <v>28.424657534246574</v>
      </c>
      <c r="S24" s="3">
        <f t="shared" si="11"/>
        <v>24.657534246575342</v>
      </c>
      <c r="T24" s="3">
        <f t="shared" si="11"/>
        <v>11.986301369863014</v>
      </c>
      <c r="U24" s="3">
        <f t="shared" si="11"/>
        <v>2.0547945205479454</v>
      </c>
    </row>
    <row r="25" spans="4:25">
      <c r="O25" t="s">
        <v>21</v>
      </c>
      <c r="P25" s="3">
        <f>P16*100/$V$16</f>
        <v>1.056338028169014</v>
      </c>
      <c r="Q25" s="3">
        <f t="shared" ref="Q25:U25" si="12">Q16*100/$V$16</f>
        <v>13.732394366197184</v>
      </c>
      <c r="R25" s="3">
        <f t="shared" si="12"/>
        <v>19.014084507042252</v>
      </c>
      <c r="S25" s="3">
        <f t="shared" si="12"/>
        <v>29.577464788732396</v>
      </c>
      <c r="T25" s="3">
        <f t="shared" si="12"/>
        <v>25.35211267605634</v>
      </c>
      <c r="U25" s="3">
        <f t="shared" si="12"/>
        <v>11.267605633802816</v>
      </c>
      <c r="Y25">
        <f>292/2</f>
        <v>146</v>
      </c>
    </row>
    <row r="26" spans="4:25">
      <c r="O26" t="s">
        <v>22</v>
      </c>
      <c r="P26" s="3">
        <f>P17*100/$V$17</f>
        <v>0</v>
      </c>
      <c r="Q26" s="3">
        <f t="shared" ref="Q26:U26" si="13">Q17*100/$V$17</f>
        <v>11.111111111111111</v>
      </c>
      <c r="R26" s="3">
        <f t="shared" si="13"/>
        <v>18.888888888888889</v>
      </c>
      <c r="S26" s="3">
        <f t="shared" si="13"/>
        <v>31.111111111111111</v>
      </c>
      <c r="T26" s="3">
        <f t="shared" si="13"/>
        <v>26.666666666666668</v>
      </c>
      <c r="U26" s="3">
        <f t="shared" si="13"/>
        <v>12.222222222222221</v>
      </c>
      <c r="Y26">
        <f>V20/2</f>
        <v>184</v>
      </c>
    </row>
    <row r="27" spans="4:25">
      <c r="O27" t="s">
        <v>23</v>
      </c>
      <c r="P27" s="3">
        <f>P18*100/$V$18</f>
        <v>3.5014005602240896</v>
      </c>
      <c r="Q27" s="3">
        <f t="shared" ref="Q27:U27" si="14">Q18*100/$V$18</f>
        <v>26.785714285714285</v>
      </c>
      <c r="R27" s="3">
        <f t="shared" si="14"/>
        <v>26.96078431372549</v>
      </c>
      <c r="S27" s="3">
        <f t="shared" si="14"/>
        <v>23.879551820728292</v>
      </c>
      <c r="T27" s="3">
        <f t="shared" si="14"/>
        <v>16.001400560224091</v>
      </c>
      <c r="U27" s="3">
        <f t="shared" si="14"/>
        <v>2.8711484593837535</v>
      </c>
    </row>
    <row r="28" spans="4:25">
      <c r="O28" t="s">
        <v>24</v>
      </c>
      <c r="P28" s="3">
        <f>P19*100/$V$19</f>
        <v>0.52356020942408377</v>
      </c>
      <c r="Q28" s="3">
        <f t="shared" ref="Q28:U28" si="15">Q19*100/$V$19</f>
        <v>8.6387434554973819</v>
      </c>
      <c r="R28" s="3">
        <f t="shared" si="15"/>
        <v>15.706806282722512</v>
      </c>
      <c r="S28" s="3">
        <f t="shared" si="15"/>
        <v>34.554973821989527</v>
      </c>
      <c r="T28" s="3">
        <f t="shared" si="15"/>
        <v>30.366492146596858</v>
      </c>
      <c r="U28" s="3">
        <f t="shared" si="15"/>
        <v>10.209424083769633</v>
      </c>
    </row>
    <row r="29" spans="4:25">
      <c r="O29" t="s">
        <v>25</v>
      </c>
      <c r="P29" s="3">
        <f>P20*100/$V$20</f>
        <v>4.0760869565217392</v>
      </c>
      <c r="Q29" s="3">
        <f t="shared" ref="Q29:U29" si="16">Q20*100/$V$20</f>
        <v>28.260869565217391</v>
      </c>
      <c r="R29" s="3">
        <f t="shared" si="16"/>
        <v>29.619565217391305</v>
      </c>
      <c r="S29" s="3">
        <f t="shared" si="16"/>
        <v>22.826086956521738</v>
      </c>
      <c r="T29" s="3">
        <f t="shared" si="16"/>
        <v>13.315217391304348</v>
      </c>
      <c r="U29" s="3">
        <f t="shared" si="16"/>
        <v>1.9021739130434783</v>
      </c>
    </row>
    <row r="32" spans="4:25">
      <c r="F32">
        <f>95*100/6800</f>
        <v>1.3970588235294117</v>
      </c>
    </row>
    <row r="33" spans="11:22">
      <c r="O33" t="s">
        <v>33</v>
      </c>
      <c r="P33">
        <f>ROUND(P12/2,0)</f>
        <v>12</v>
      </c>
      <c r="Q33">
        <f>ROUNDDOWN(Q12/2,0)</f>
        <v>193</v>
      </c>
      <c r="R33">
        <f t="shared" ref="R33:T33" si="17">ROUND(R12/2,0)</f>
        <v>349</v>
      </c>
      <c r="S33">
        <f>ROUNDDOWN(S12/2,0)</f>
        <v>552</v>
      </c>
      <c r="T33">
        <f t="shared" si="17"/>
        <v>550</v>
      </c>
      <c r="U33">
        <f>ROUNDDOWN(U12/2,0)</f>
        <v>265</v>
      </c>
      <c r="V33">
        <f>SUM(P33:U33)</f>
        <v>1921</v>
      </c>
    </row>
    <row r="34" spans="11:22">
      <c r="O34" s="5" t="s">
        <v>27</v>
      </c>
      <c r="P34">
        <f t="shared" ref="P34:T40" si="18">ROUND(P13/2,0)</f>
        <v>41</v>
      </c>
      <c r="Q34">
        <f t="shared" ref="Q34:Q41" si="19">ROUNDDOWN(Q13/2,0)</f>
        <v>274</v>
      </c>
      <c r="R34">
        <f t="shared" si="18"/>
        <v>266</v>
      </c>
      <c r="S34">
        <f t="shared" ref="S34:S41" si="20">ROUNDDOWN(S13/2,0)</f>
        <v>285</v>
      </c>
      <c r="T34">
        <f t="shared" si="18"/>
        <v>148</v>
      </c>
      <c r="U34">
        <f t="shared" ref="U34:U41" si="21">ROUNDDOWN(U13/2,0)</f>
        <v>28</v>
      </c>
      <c r="V34">
        <f t="shared" ref="V34:V41" si="22">SUM(P34:U34)</f>
        <v>1042</v>
      </c>
    </row>
    <row r="35" spans="11:22">
      <c r="O35" s="5" t="s">
        <v>26</v>
      </c>
      <c r="P35">
        <f t="shared" si="18"/>
        <v>112</v>
      </c>
      <c r="Q35">
        <f t="shared" si="19"/>
        <v>735</v>
      </c>
      <c r="R35">
        <f t="shared" si="18"/>
        <v>478</v>
      </c>
      <c r="S35">
        <f t="shared" si="20"/>
        <v>288</v>
      </c>
      <c r="T35">
        <f t="shared" si="18"/>
        <v>88</v>
      </c>
      <c r="U35">
        <f t="shared" si="21"/>
        <v>0</v>
      </c>
      <c r="V35">
        <f t="shared" si="22"/>
        <v>1701</v>
      </c>
    </row>
    <row r="36" spans="11:22">
      <c r="O36" t="s">
        <v>34</v>
      </c>
      <c r="P36">
        <f t="shared" si="18"/>
        <v>5</v>
      </c>
      <c r="Q36">
        <f t="shared" si="19"/>
        <v>43</v>
      </c>
      <c r="R36">
        <f>ROUNDDOWN(R15/2,0)</f>
        <v>41</v>
      </c>
      <c r="S36">
        <f t="shared" si="20"/>
        <v>36</v>
      </c>
      <c r="T36">
        <f t="shared" si="18"/>
        <v>18</v>
      </c>
      <c r="U36">
        <f>ROUNDDOWN(U15/2,0)</f>
        <v>3</v>
      </c>
      <c r="V36">
        <f t="shared" si="22"/>
        <v>146</v>
      </c>
    </row>
    <row r="37" spans="11:22">
      <c r="O37" s="5" t="s">
        <v>30</v>
      </c>
      <c r="P37">
        <f t="shared" si="18"/>
        <v>2</v>
      </c>
      <c r="Q37">
        <f t="shared" si="19"/>
        <v>19</v>
      </c>
      <c r="R37">
        <f t="shared" si="18"/>
        <v>27</v>
      </c>
      <c r="S37">
        <f t="shared" si="20"/>
        <v>42</v>
      </c>
      <c r="T37">
        <f t="shared" si="18"/>
        <v>36</v>
      </c>
      <c r="U37">
        <f t="shared" si="21"/>
        <v>16</v>
      </c>
      <c r="V37">
        <f t="shared" si="22"/>
        <v>142</v>
      </c>
    </row>
    <row r="38" spans="11:22">
      <c r="O38" s="5" t="s">
        <v>29</v>
      </c>
      <c r="P38">
        <f t="shared" si="18"/>
        <v>0</v>
      </c>
      <c r="Q38">
        <f t="shared" si="19"/>
        <v>5</v>
      </c>
      <c r="R38">
        <f t="shared" si="18"/>
        <v>9</v>
      </c>
      <c r="S38">
        <f t="shared" si="20"/>
        <v>14</v>
      </c>
      <c r="T38">
        <f t="shared" si="18"/>
        <v>12</v>
      </c>
      <c r="U38">
        <f t="shared" si="21"/>
        <v>5</v>
      </c>
      <c r="V38">
        <f t="shared" si="22"/>
        <v>45</v>
      </c>
    </row>
    <row r="39" spans="11:22">
      <c r="O39" s="5" t="s">
        <v>28</v>
      </c>
      <c r="P39">
        <f t="shared" si="18"/>
        <v>50</v>
      </c>
      <c r="Q39">
        <f t="shared" si="19"/>
        <v>382</v>
      </c>
      <c r="R39">
        <f t="shared" si="18"/>
        <v>385</v>
      </c>
      <c r="S39">
        <f t="shared" si="20"/>
        <v>341</v>
      </c>
      <c r="T39">
        <f t="shared" si="18"/>
        <v>229</v>
      </c>
      <c r="U39">
        <f t="shared" si="21"/>
        <v>41</v>
      </c>
      <c r="V39">
        <f t="shared" si="22"/>
        <v>1428</v>
      </c>
    </row>
    <row r="40" spans="11:22">
      <c r="O40" s="5" t="s">
        <v>31</v>
      </c>
      <c r="P40">
        <f>ROUND(P19/2,0)</f>
        <v>1</v>
      </c>
      <c r="Q40">
        <f>ROUND(Q19/2,0)</f>
        <v>17</v>
      </c>
      <c r="R40">
        <f t="shared" si="18"/>
        <v>30</v>
      </c>
      <c r="S40">
        <f t="shared" si="20"/>
        <v>66</v>
      </c>
      <c r="T40">
        <f t="shared" si="18"/>
        <v>58</v>
      </c>
      <c r="U40">
        <f t="shared" si="21"/>
        <v>19</v>
      </c>
      <c r="V40">
        <f t="shared" si="22"/>
        <v>191</v>
      </c>
    </row>
    <row r="41" spans="11:22">
      <c r="O41" s="5" t="s">
        <v>35</v>
      </c>
      <c r="P41">
        <f>ROUND(P20/2,0)</f>
        <v>8</v>
      </c>
      <c r="Q41">
        <f t="shared" si="19"/>
        <v>52</v>
      </c>
      <c r="R41">
        <f t="shared" ref="R41" si="23">ROUND(R20/2,0)</f>
        <v>55</v>
      </c>
      <c r="S41">
        <f t="shared" si="20"/>
        <v>42</v>
      </c>
      <c r="T41">
        <f>ROUNDDOWN(T20/2,0)</f>
        <v>24</v>
      </c>
      <c r="U41">
        <f t="shared" si="21"/>
        <v>3</v>
      </c>
      <c r="V41">
        <f t="shared" si="22"/>
        <v>184</v>
      </c>
    </row>
    <row r="42" spans="11:22">
      <c r="L42" s="5"/>
      <c r="O42" t="s">
        <v>33</v>
      </c>
      <c r="P42" s="3">
        <f>P33*100/$V$33</f>
        <v>0.62467464862051014</v>
      </c>
      <c r="Q42" s="3">
        <f t="shared" ref="Q42:U42" si="24">Q33*100/$V$33</f>
        <v>10.046850598646538</v>
      </c>
      <c r="R42" s="3">
        <f t="shared" si="24"/>
        <v>18.167621030713171</v>
      </c>
      <c r="S42" s="3">
        <f t="shared" si="24"/>
        <v>28.735033836543465</v>
      </c>
      <c r="T42" s="3">
        <f t="shared" si="24"/>
        <v>28.630921395106714</v>
      </c>
      <c r="U42" s="3">
        <f t="shared" si="24"/>
        <v>13.794898490369599</v>
      </c>
    </row>
    <row r="43" spans="11:22">
      <c r="L43" s="5"/>
      <c r="O43" s="5" t="s">
        <v>27</v>
      </c>
      <c r="P43" s="3">
        <f>P34*100/$V$34</f>
        <v>3.9347408829174664</v>
      </c>
      <c r="Q43" s="3">
        <f t="shared" ref="Q43:U43" si="25">Q34*100/$V$34</f>
        <v>26.295585412667947</v>
      </c>
      <c r="R43" s="3">
        <f t="shared" si="25"/>
        <v>25.527831094049905</v>
      </c>
      <c r="S43" s="3">
        <f t="shared" si="25"/>
        <v>27.351247600767753</v>
      </c>
      <c r="T43" s="3">
        <f t="shared" si="25"/>
        <v>14.203454894433781</v>
      </c>
      <c r="U43" s="3">
        <f t="shared" si="25"/>
        <v>2.6871401151631478</v>
      </c>
    </row>
    <row r="44" spans="11:22">
      <c r="O44" s="5" t="s">
        <v>26</v>
      </c>
      <c r="P44" s="3">
        <f>P35*100/$V$35</f>
        <v>6.5843621399176957</v>
      </c>
      <c r="Q44" s="3">
        <f t="shared" ref="Q44:U44" si="26">Q35*100/$V$35</f>
        <v>43.209876543209873</v>
      </c>
      <c r="R44" s="3">
        <f t="shared" si="26"/>
        <v>28.101116990005877</v>
      </c>
      <c r="S44" s="3">
        <f t="shared" si="26"/>
        <v>16.93121693121693</v>
      </c>
      <c r="T44" s="3">
        <f t="shared" si="26"/>
        <v>5.1734273956496182</v>
      </c>
      <c r="U44" s="3">
        <f t="shared" si="26"/>
        <v>0</v>
      </c>
    </row>
    <row r="45" spans="11:22">
      <c r="K45" s="5"/>
      <c r="O45" t="s">
        <v>34</v>
      </c>
      <c r="P45" s="3">
        <f>P36*100/$V$36</f>
        <v>3.4246575342465753</v>
      </c>
      <c r="Q45" s="3">
        <f t="shared" ref="Q45:U45" si="27">Q36*100/$V$36</f>
        <v>29.452054794520549</v>
      </c>
      <c r="R45" s="3">
        <f t="shared" si="27"/>
        <v>28.082191780821919</v>
      </c>
      <c r="S45" s="3">
        <f t="shared" si="27"/>
        <v>24.657534246575342</v>
      </c>
      <c r="T45" s="3">
        <f t="shared" si="27"/>
        <v>12.328767123287671</v>
      </c>
      <c r="U45" s="3">
        <f t="shared" si="27"/>
        <v>2.0547945205479454</v>
      </c>
    </row>
    <row r="46" spans="11:22">
      <c r="K46" s="5"/>
      <c r="O46" s="5" t="s">
        <v>30</v>
      </c>
      <c r="P46" s="3">
        <f>P37*100/$V$37</f>
        <v>1.408450704225352</v>
      </c>
      <c r="Q46" s="3">
        <f t="shared" ref="Q46:U46" si="28">Q37*100/$V$37</f>
        <v>13.380281690140846</v>
      </c>
      <c r="R46" s="3">
        <f t="shared" si="28"/>
        <v>19.014084507042252</v>
      </c>
      <c r="S46" s="3">
        <f t="shared" si="28"/>
        <v>29.577464788732396</v>
      </c>
      <c r="T46" s="3">
        <f t="shared" si="28"/>
        <v>25.35211267605634</v>
      </c>
      <c r="U46" s="3">
        <f t="shared" si="28"/>
        <v>11.267605633802816</v>
      </c>
    </row>
    <row r="47" spans="11:22">
      <c r="O47" s="5" t="s">
        <v>29</v>
      </c>
      <c r="P47" s="3">
        <f>P38*100/$V$38</f>
        <v>0</v>
      </c>
      <c r="Q47" s="3">
        <f t="shared" ref="Q47:U47" si="29">Q38*100/$V$38</f>
        <v>11.111111111111111</v>
      </c>
      <c r="R47" s="3">
        <f t="shared" si="29"/>
        <v>20</v>
      </c>
      <c r="S47" s="3">
        <f t="shared" si="29"/>
        <v>31.111111111111111</v>
      </c>
      <c r="T47" s="3">
        <f t="shared" si="29"/>
        <v>26.666666666666668</v>
      </c>
      <c r="U47" s="3">
        <f t="shared" si="29"/>
        <v>11.111111111111111</v>
      </c>
    </row>
    <row r="48" spans="11:22">
      <c r="K48" s="5"/>
      <c r="O48" s="5" t="s">
        <v>28</v>
      </c>
      <c r="P48" s="3">
        <f>P39*100/$V$39</f>
        <v>3.5014005602240896</v>
      </c>
      <c r="Q48" s="3">
        <f t="shared" ref="Q48:U48" si="30">Q39*100/$V$39</f>
        <v>26.750700280112046</v>
      </c>
      <c r="R48" s="3">
        <f t="shared" si="30"/>
        <v>26.96078431372549</v>
      </c>
      <c r="S48" s="3">
        <f t="shared" si="30"/>
        <v>23.879551820728292</v>
      </c>
      <c r="T48" s="3">
        <f t="shared" si="30"/>
        <v>16.03641456582633</v>
      </c>
      <c r="U48" s="3">
        <f t="shared" si="30"/>
        <v>2.8711484593837535</v>
      </c>
    </row>
    <row r="49" spans="11:21">
      <c r="O49" s="5" t="s">
        <v>31</v>
      </c>
      <c r="P49" s="3">
        <f>P40*100/$V$40</f>
        <v>0.52356020942408377</v>
      </c>
      <c r="Q49" s="3">
        <f t="shared" ref="Q49:U49" si="31">Q40*100/$V$40</f>
        <v>8.9005235602094235</v>
      </c>
      <c r="R49" s="3">
        <f t="shared" si="31"/>
        <v>15.706806282722512</v>
      </c>
      <c r="S49" s="3">
        <f t="shared" si="31"/>
        <v>34.554973821989527</v>
      </c>
      <c r="T49" s="3">
        <f t="shared" si="31"/>
        <v>30.366492146596858</v>
      </c>
      <c r="U49" s="3">
        <f t="shared" si="31"/>
        <v>9.9476439790575917</v>
      </c>
    </row>
    <row r="50" spans="11:21">
      <c r="O50" s="5" t="s">
        <v>35</v>
      </c>
      <c r="P50" s="3">
        <f>P41*100/$V$41</f>
        <v>4.3478260869565215</v>
      </c>
      <c r="Q50" s="3">
        <f t="shared" ref="Q50:U50" si="32">Q41*100/$V$41</f>
        <v>28.260869565217391</v>
      </c>
      <c r="R50" s="3">
        <f t="shared" si="32"/>
        <v>29.891304347826086</v>
      </c>
      <c r="S50" s="3">
        <f t="shared" si="32"/>
        <v>22.826086956521738</v>
      </c>
      <c r="T50" s="3">
        <f t="shared" si="32"/>
        <v>13.043478260869565</v>
      </c>
      <c r="U50" s="3">
        <f t="shared" si="32"/>
        <v>1.6304347826086956</v>
      </c>
    </row>
    <row r="52" spans="11:21">
      <c r="K52" s="5"/>
    </row>
    <row r="55" spans="11:21">
      <c r="K55" s="5"/>
    </row>
    <row r="56" spans="11:21">
      <c r="K56" s="5"/>
    </row>
    <row r="57" spans="11:21">
      <c r="K57" s="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3505-7D48-4A24-848D-448A31421B66}">
  <dimension ref="B2:N56"/>
  <sheetViews>
    <sheetView topLeftCell="A23" workbookViewId="0">
      <selection activeCell="C34" sqref="B34:C42"/>
    </sheetView>
  </sheetViews>
  <sheetFormatPr defaultRowHeight="14.5"/>
  <cols>
    <col min="2" max="2" width="46.90625" customWidth="1"/>
    <col min="3" max="3" width="24.54296875" bestFit="1" customWidth="1"/>
    <col min="4" max="4" width="10.36328125" bestFit="1" customWidth="1"/>
    <col min="5" max="5" width="8.90625" bestFit="1" customWidth="1"/>
    <col min="6" max="6" width="7.81640625" bestFit="1" customWidth="1"/>
    <col min="12" max="12" width="24.54296875" bestFit="1" customWidth="1"/>
  </cols>
  <sheetData>
    <row r="2" spans="2:14" ht="15" thickBot="1"/>
    <row r="3" spans="2:14" ht="15" thickBot="1">
      <c r="B3" s="11"/>
      <c r="C3" s="12"/>
    </row>
    <row r="4" spans="2:14" ht="15" thickBot="1">
      <c r="C4" s="14"/>
      <c r="D4" s="12" t="s">
        <v>36</v>
      </c>
      <c r="E4" s="12" t="s">
        <v>14</v>
      </c>
      <c r="F4" s="12" t="s">
        <v>15</v>
      </c>
      <c r="K4">
        <v>0</v>
      </c>
      <c r="L4">
        <v>205</v>
      </c>
    </row>
    <row r="5" spans="2:14" ht="15" thickBot="1">
      <c r="B5" s="23" t="s">
        <v>37</v>
      </c>
      <c r="C5" s="14" t="s">
        <v>38</v>
      </c>
      <c r="D5" s="14" t="s">
        <v>50</v>
      </c>
      <c r="E5" s="20">
        <v>36.678310000000003</v>
      </c>
      <c r="F5" s="20">
        <v>8.5350599999999996</v>
      </c>
      <c r="K5">
        <v>1</v>
      </c>
      <c r="L5">
        <v>79</v>
      </c>
    </row>
    <row r="6" spans="2:14" ht="15" thickBot="1">
      <c r="B6" s="23"/>
      <c r="C6" s="14" t="s">
        <v>39</v>
      </c>
      <c r="D6" s="15" t="s">
        <v>51</v>
      </c>
      <c r="E6" s="20">
        <v>35.560319999999997</v>
      </c>
      <c r="F6" s="20">
        <v>8.1115999999999993</v>
      </c>
      <c r="K6">
        <v>2</v>
      </c>
      <c r="L6">
        <v>147</v>
      </c>
    </row>
    <row r="7" spans="2:14" ht="15" thickBot="1">
      <c r="B7" s="23"/>
      <c r="C7" s="14" t="s">
        <v>40</v>
      </c>
      <c r="D7" s="14" t="s">
        <v>50</v>
      </c>
      <c r="E7" s="20">
        <v>37.816029999999998</v>
      </c>
      <c r="F7" s="20">
        <v>8.7943499999999997</v>
      </c>
      <c r="K7">
        <v>3</v>
      </c>
      <c r="L7">
        <v>3092</v>
      </c>
    </row>
    <row r="8" spans="2:14" ht="15" thickBot="1">
      <c r="B8" s="23"/>
      <c r="C8" s="14" t="s">
        <v>41</v>
      </c>
      <c r="D8" s="15" t="s">
        <v>52</v>
      </c>
      <c r="E8" s="17">
        <v>8.4260000000000002E-2</v>
      </c>
      <c r="F8" s="17">
        <v>1.5531699999999999</v>
      </c>
      <c r="K8">
        <v>4</v>
      </c>
      <c r="L8">
        <v>1863</v>
      </c>
    </row>
    <row r="9" spans="2:14" ht="15" thickBot="1">
      <c r="C9" s="14"/>
      <c r="D9" s="14" t="s">
        <v>42</v>
      </c>
      <c r="E9" s="14" t="s">
        <v>43</v>
      </c>
      <c r="F9" s="14"/>
      <c r="K9">
        <v>6</v>
      </c>
      <c r="L9">
        <v>4195</v>
      </c>
    </row>
    <row r="10" spans="2:14" ht="29.5" thickBot="1">
      <c r="B10" s="24" t="s">
        <v>53</v>
      </c>
      <c r="C10" t="s">
        <v>63</v>
      </c>
      <c r="D10" s="19">
        <v>205</v>
      </c>
      <c r="E10" s="18">
        <v>1.5073529411764706</v>
      </c>
      <c r="F10" s="14"/>
      <c r="K10">
        <v>7</v>
      </c>
      <c r="L10">
        <v>2498</v>
      </c>
      <c r="N10" s="16" t="s">
        <v>54</v>
      </c>
    </row>
    <row r="11" spans="2:14" ht="29.5" customHeight="1" thickBot="1">
      <c r="B11" s="24"/>
      <c r="C11" t="s">
        <v>64</v>
      </c>
      <c r="D11" s="19">
        <v>79</v>
      </c>
      <c r="E11" s="18">
        <v>0.58088235294117652</v>
      </c>
      <c r="F11" s="14"/>
      <c r="K11">
        <v>8</v>
      </c>
      <c r="L11">
        <v>518</v>
      </c>
      <c r="N11" s="16" t="s">
        <v>55</v>
      </c>
    </row>
    <row r="12" spans="2:14" ht="15" thickBot="1">
      <c r="B12" s="24"/>
      <c r="C12" t="s">
        <v>65</v>
      </c>
      <c r="D12" s="19">
        <v>5102</v>
      </c>
      <c r="E12" s="18">
        <v>37.514705882352942</v>
      </c>
      <c r="F12" s="14"/>
      <c r="N12" s="16" t="s">
        <v>56</v>
      </c>
    </row>
    <row r="13" spans="2:14" ht="15" thickBot="1">
      <c r="B13" s="24"/>
      <c r="C13" t="s">
        <v>66</v>
      </c>
      <c r="D13" s="19">
        <v>4195</v>
      </c>
      <c r="E13" s="18">
        <v>30.845588235294116</v>
      </c>
      <c r="F13" s="14"/>
      <c r="J13" s="9"/>
      <c r="N13" s="16" t="s">
        <v>57</v>
      </c>
    </row>
    <row r="14" spans="2:14" ht="15" thickBot="1">
      <c r="B14" s="24"/>
      <c r="C14" t="s">
        <v>67</v>
      </c>
      <c r="D14" s="19">
        <v>2498</v>
      </c>
      <c r="E14" s="18">
        <v>18.367647058823529</v>
      </c>
      <c r="F14" s="14"/>
      <c r="J14" s="10"/>
      <c r="N14" s="16" t="s">
        <v>58</v>
      </c>
    </row>
    <row r="15" spans="2:14" ht="15" thickBot="1">
      <c r="B15" s="13"/>
      <c r="C15" t="s">
        <v>68</v>
      </c>
      <c r="D15" s="19">
        <v>518</v>
      </c>
      <c r="E15" s="18">
        <v>3.8088235294117645</v>
      </c>
      <c r="F15" s="14"/>
      <c r="N15" s="16" t="s">
        <v>59</v>
      </c>
    </row>
    <row r="16" spans="2:14" ht="15" thickBot="1">
      <c r="B16" s="25" t="s">
        <v>44</v>
      </c>
      <c r="C16" s="14" t="s">
        <v>45</v>
      </c>
      <c r="D16" s="14">
        <v>6805</v>
      </c>
      <c r="E16" s="18">
        <v>50.036764705882355</v>
      </c>
      <c r="F16" s="14"/>
      <c r="N16" s="16" t="s">
        <v>60</v>
      </c>
    </row>
    <row r="17" spans="2:14" ht="15" thickBot="1">
      <c r="B17" s="24"/>
      <c r="C17" s="14" t="s">
        <v>46</v>
      </c>
      <c r="D17" s="14">
        <v>6773</v>
      </c>
      <c r="E17" s="18">
        <v>49.801470588235297</v>
      </c>
      <c r="F17" s="14"/>
      <c r="N17" s="16" t="s">
        <v>61</v>
      </c>
    </row>
    <row r="18" spans="2:14" ht="15" thickBot="1">
      <c r="B18" s="13"/>
      <c r="C18" s="14" t="s">
        <v>69</v>
      </c>
      <c r="D18" s="14">
        <v>22</v>
      </c>
      <c r="E18" s="18">
        <v>0.16176470588235295</v>
      </c>
      <c r="F18" s="14"/>
      <c r="N18" s="16" t="s">
        <v>62</v>
      </c>
    </row>
    <row r="19" spans="2:14" ht="29.5" thickBot="1">
      <c r="B19" s="25" t="s">
        <v>47</v>
      </c>
      <c r="C19" s="14" t="s">
        <v>48</v>
      </c>
      <c r="D19" s="8">
        <v>13142</v>
      </c>
      <c r="E19" s="22">
        <v>96.632352941176464</v>
      </c>
      <c r="F19" s="8"/>
      <c r="N19" s="16"/>
    </row>
    <row r="20" spans="2:14" ht="29.5" customHeight="1" thickBot="1">
      <c r="B20" s="13"/>
      <c r="C20" s="14" t="s">
        <v>49</v>
      </c>
      <c r="D20" s="8">
        <v>458</v>
      </c>
      <c r="E20" s="22">
        <v>3.3676470588235294</v>
      </c>
      <c r="F20" s="8"/>
    </row>
    <row r="22" spans="2:14">
      <c r="L22" t="s">
        <v>63</v>
      </c>
      <c r="M22">
        <f>L4</f>
        <v>205</v>
      </c>
      <c r="N22">
        <f>M22*100/$N$29</f>
        <v>1.5073529411764706</v>
      </c>
    </row>
    <row r="23" spans="2:14">
      <c r="L23" t="s">
        <v>64</v>
      </c>
      <c r="M23">
        <f>SUM(L5)</f>
        <v>79</v>
      </c>
      <c r="N23">
        <f t="shared" ref="N23:N27" si="0">M23*100/$N$29</f>
        <v>0.58088235294117652</v>
      </c>
    </row>
    <row r="24" spans="2:14">
      <c r="L24" t="s">
        <v>65</v>
      </c>
      <c r="M24">
        <f>SUM(L6:L8)</f>
        <v>5102</v>
      </c>
      <c r="N24">
        <f t="shared" si="0"/>
        <v>37.514705882352942</v>
      </c>
    </row>
    <row r="25" spans="2:14">
      <c r="L25" t="s">
        <v>66</v>
      </c>
      <c r="M25">
        <f>L9</f>
        <v>4195</v>
      </c>
      <c r="N25">
        <f t="shared" si="0"/>
        <v>30.845588235294116</v>
      </c>
    </row>
    <row r="26" spans="2:14">
      <c r="L26" t="s">
        <v>67</v>
      </c>
      <c r="M26">
        <f t="shared" ref="M26:M27" si="1">L10</f>
        <v>2498</v>
      </c>
      <c r="N26">
        <f t="shared" si="0"/>
        <v>18.367647058823529</v>
      </c>
    </row>
    <row r="27" spans="2:14">
      <c r="L27" t="s">
        <v>68</v>
      </c>
      <c r="M27">
        <f t="shared" si="1"/>
        <v>518</v>
      </c>
      <c r="N27">
        <f t="shared" si="0"/>
        <v>3.8088235294117645</v>
      </c>
    </row>
    <row r="29" spans="2:14">
      <c r="N29">
        <v>13600</v>
      </c>
    </row>
    <row r="32" spans="2:14" ht="15" thickBot="1">
      <c r="L32">
        <v>6805</v>
      </c>
      <c r="M32">
        <f>L32*100/$N$29</f>
        <v>50.036764705882355</v>
      </c>
    </row>
    <row r="33" spans="2:14" ht="16.5" thickBot="1">
      <c r="C33" s="26"/>
      <c r="D33" s="27" t="s">
        <v>72</v>
      </c>
      <c r="E33" s="27" t="s">
        <v>73</v>
      </c>
      <c r="F33" s="27" t="s">
        <v>74</v>
      </c>
      <c r="G33" s="27" t="s">
        <v>75</v>
      </c>
      <c r="H33" s="27" t="s">
        <v>76</v>
      </c>
      <c r="L33">
        <v>6773</v>
      </c>
      <c r="M33">
        <f t="shared" ref="M33:M38" si="2">L33*100/$N$29</f>
        <v>49.801470588235297</v>
      </c>
    </row>
    <row r="34" spans="2:14" ht="16.5" thickBot="1">
      <c r="B34" s="31" t="s">
        <v>78</v>
      </c>
      <c r="C34" s="28" t="s">
        <v>17</v>
      </c>
      <c r="D34" s="29">
        <v>4.82</v>
      </c>
      <c r="E34" s="29">
        <v>1.61</v>
      </c>
      <c r="F34" s="29">
        <v>11.93</v>
      </c>
      <c r="G34" s="29">
        <v>8.1999999999999993</v>
      </c>
      <c r="H34" s="29">
        <v>3.91</v>
      </c>
      <c r="L34">
        <v>22</v>
      </c>
      <c r="M34">
        <f t="shared" si="2"/>
        <v>0.16176470588235295</v>
      </c>
    </row>
    <row r="35" spans="2:14" ht="16.5" thickBot="1">
      <c r="B35" s="31" t="s">
        <v>27</v>
      </c>
      <c r="C35" s="28" t="s">
        <v>18</v>
      </c>
      <c r="D35" s="29">
        <v>5.0599999999999996</v>
      </c>
      <c r="E35" s="29">
        <v>1.87</v>
      </c>
      <c r="F35" s="29">
        <v>11.44</v>
      </c>
      <c r="G35" s="29">
        <v>7.89</v>
      </c>
      <c r="H35" s="29">
        <v>3.79</v>
      </c>
    </row>
    <row r="36" spans="2:14" ht="16.5" thickBot="1">
      <c r="B36" s="31" t="s">
        <v>79</v>
      </c>
      <c r="C36" s="28" t="s">
        <v>19</v>
      </c>
      <c r="D36" s="29">
        <v>5.25</v>
      </c>
      <c r="E36" s="29">
        <v>2.06</v>
      </c>
      <c r="F36" s="29">
        <v>11.1</v>
      </c>
      <c r="G36" s="29">
        <v>7.6</v>
      </c>
      <c r="H36" s="29">
        <v>3.68</v>
      </c>
    </row>
    <row r="37" spans="2:14" ht="16.5" thickBot="1">
      <c r="B37" s="31" t="s">
        <v>81</v>
      </c>
      <c r="C37" s="28" t="s">
        <v>20</v>
      </c>
      <c r="D37" s="29">
        <v>5.41</v>
      </c>
      <c r="E37" s="29">
        <v>2.11</v>
      </c>
      <c r="F37" s="29">
        <v>11.19</v>
      </c>
      <c r="G37" s="29">
        <v>7.62</v>
      </c>
      <c r="H37" s="29">
        <v>3.66</v>
      </c>
      <c r="K37" t="s">
        <v>70</v>
      </c>
      <c r="L37">
        <v>13142</v>
      </c>
      <c r="M37">
        <f t="shared" si="2"/>
        <v>96.632352941176464</v>
      </c>
    </row>
    <row r="38" spans="2:14" ht="16.5" thickBot="1">
      <c r="B38" s="31" t="s">
        <v>30</v>
      </c>
      <c r="C38" s="28" t="s">
        <v>21</v>
      </c>
      <c r="D38" s="29">
        <v>5.2</v>
      </c>
      <c r="E38" s="29">
        <v>1.82</v>
      </c>
      <c r="F38" s="29">
        <v>11.31</v>
      </c>
      <c r="G38" s="29">
        <v>7.82</v>
      </c>
      <c r="H38" s="29">
        <v>3.81</v>
      </c>
      <c r="K38" t="s">
        <v>71</v>
      </c>
      <c r="L38" s="21">
        <v>458</v>
      </c>
      <c r="M38">
        <f t="shared" si="2"/>
        <v>3.3676470588235294</v>
      </c>
    </row>
    <row r="39" spans="2:14" ht="16.5" thickBot="1">
      <c r="B39" s="31" t="s">
        <v>80</v>
      </c>
      <c r="C39" s="28" t="s">
        <v>22</v>
      </c>
      <c r="D39" s="29">
        <v>4.8600000000000003</v>
      </c>
      <c r="E39" s="29">
        <v>1.72</v>
      </c>
      <c r="F39" s="29">
        <v>11.56</v>
      </c>
      <c r="G39" s="29">
        <v>8.18</v>
      </c>
      <c r="H39" s="29">
        <v>3.71</v>
      </c>
    </row>
    <row r="40" spans="2:14" ht="16.5" thickBot="1">
      <c r="B40" s="31" t="s">
        <v>28</v>
      </c>
      <c r="C40" s="28" t="s">
        <v>23</v>
      </c>
      <c r="D40" s="29">
        <v>5.0599999999999996</v>
      </c>
      <c r="E40" s="29">
        <v>1.83</v>
      </c>
      <c r="F40" s="29">
        <v>11.44</v>
      </c>
      <c r="G40" s="29">
        <v>7.83</v>
      </c>
      <c r="H40" s="29">
        <v>3.75</v>
      </c>
      <c r="N40" s="9" t="s">
        <v>84</v>
      </c>
    </row>
    <row r="41" spans="2:14" ht="16.5" thickBot="1">
      <c r="B41" s="31" t="s">
        <v>31</v>
      </c>
      <c r="C41" s="28" t="s">
        <v>24</v>
      </c>
      <c r="D41" s="29">
        <v>5.0999999999999996</v>
      </c>
      <c r="E41" s="29">
        <v>1.79</v>
      </c>
      <c r="F41" s="29">
        <v>11.47</v>
      </c>
      <c r="G41" s="29">
        <v>7.96</v>
      </c>
      <c r="H41" s="29">
        <v>3.88</v>
      </c>
      <c r="N41" s="9" t="s">
        <v>85</v>
      </c>
    </row>
    <row r="42" spans="2:14" ht="16.5" thickBot="1">
      <c r="B42" s="31" t="s">
        <v>82</v>
      </c>
      <c r="C42" s="28" t="s">
        <v>25</v>
      </c>
      <c r="D42" s="29">
        <v>5.48</v>
      </c>
      <c r="E42" s="29">
        <v>2.23</v>
      </c>
      <c r="F42" s="29">
        <v>10.8</v>
      </c>
      <c r="G42" s="29">
        <v>7.38</v>
      </c>
      <c r="H42" s="29">
        <v>3.64</v>
      </c>
      <c r="N42" s="9" t="s">
        <v>86</v>
      </c>
    </row>
    <row r="45" spans="2:14" ht="15" thickBot="1"/>
    <row r="46" spans="2:14" ht="16.5" thickBot="1">
      <c r="C46" s="30" t="s">
        <v>77</v>
      </c>
    </row>
    <row r="47" spans="2:14" ht="16.5" thickBot="1">
      <c r="B47" s="28" t="s">
        <v>17</v>
      </c>
      <c r="C47" s="31" t="s">
        <v>78</v>
      </c>
      <c r="I47" s="9"/>
    </row>
    <row r="48" spans="2:14" ht="16.5" thickBot="1">
      <c r="B48" s="28" t="s">
        <v>18</v>
      </c>
      <c r="C48" s="31" t="s">
        <v>27</v>
      </c>
      <c r="I48" s="32"/>
    </row>
    <row r="49" spans="2:9" ht="16.5" thickBot="1">
      <c r="C49" s="31" t="s">
        <v>28</v>
      </c>
      <c r="I49" s="32"/>
    </row>
    <row r="50" spans="2:9" ht="16.5" thickBot="1">
      <c r="B50" s="28" t="s">
        <v>19</v>
      </c>
      <c r="C50" s="31" t="s">
        <v>79</v>
      </c>
      <c r="I50" s="32"/>
    </row>
    <row r="51" spans="2:9" ht="16.5" thickBot="1">
      <c r="C51" s="31" t="s">
        <v>30</v>
      </c>
      <c r="I51" s="32"/>
    </row>
    <row r="52" spans="2:9" ht="16.5" thickBot="1">
      <c r="C52" s="31" t="s">
        <v>31</v>
      </c>
      <c r="I52" s="32"/>
    </row>
    <row r="53" spans="2:9" ht="16.5" thickBot="1">
      <c r="C53" s="31" t="s">
        <v>80</v>
      </c>
      <c r="I53" s="32"/>
    </row>
    <row r="54" spans="2:9" ht="32.5" thickBot="1">
      <c r="B54" s="28" t="s">
        <v>20</v>
      </c>
      <c r="C54" s="31" t="s">
        <v>81</v>
      </c>
      <c r="I54" s="32"/>
    </row>
    <row r="55" spans="2:9" ht="32.5" thickBot="1">
      <c r="B55" s="28" t="s">
        <v>25</v>
      </c>
      <c r="C55" s="31" t="s">
        <v>82</v>
      </c>
      <c r="I55" s="32"/>
    </row>
    <row r="56" spans="2:9">
      <c r="C56" s="6" t="s">
        <v>83</v>
      </c>
      <c r="I56" s="32"/>
    </row>
  </sheetData>
  <mergeCells count="1">
    <mergeCell ref="B5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ED060-DE75-408C-900D-C7194229C0DE}">
  <dimension ref="A4:U35"/>
  <sheetViews>
    <sheetView tabSelected="1" topLeftCell="A18" workbookViewId="0">
      <selection activeCell="J24" sqref="J24"/>
    </sheetView>
  </sheetViews>
  <sheetFormatPr defaultRowHeight="14.5"/>
  <cols>
    <col min="1" max="1" width="51.54296875" customWidth="1"/>
    <col min="2" max="2" width="21.90625" customWidth="1"/>
    <col min="4" max="4" width="10.1796875" bestFit="1" customWidth="1"/>
  </cols>
  <sheetData>
    <row r="4" spans="4:21" ht="15" thickBot="1"/>
    <row r="5" spans="4:21" ht="16.5" thickBot="1">
      <c r="D5" s="26"/>
      <c r="E5" s="27" t="s">
        <v>149</v>
      </c>
      <c r="F5" s="27" t="s">
        <v>150</v>
      </c>
      <c r="G5" s="27" t="s">
        <v>151</v>
      </c>
      <c r="H5" s="27" t="s">
        <v>152</v>
      </c>
      <c r="I5" s="27" t="s">
        <v>153</v>
      </c>
      <c r="J5" s="27"/>
      <c r="K5" s="26"/>
      <c r="L5" s="27" t="s">
        <v>72</v>
      </c>
      <c r="M5" s="27" t="s">
        <v>73</v>
      </c>
      <c r="N5" s="27" t="s">
        <v>74</v>
      </c>
      <c r="O5" s="27" t="s">
        <v>75</v>
      </c>
      <c r="P5" s="27" t="s">
        <v>76</v>
      </c>
      <c r="Q5" s="27"/>
      <c r="R5" s="26"/>
      <c r="S5" s="27" t="s">
        <v>197</v>
      </c>
      <c r="T5" s="27" t="s">
        <v>198</v>
      </c>
      <c r="U5" s="27" t="s">
        <v>199</v>
      </c>
    </row>
    <row r="6" spans="4:21" ht="15" thickBot="1">
      <c r="D6" s="28" t="s">
        <v>17</v>
      </c>
      <c r="E6" s="29" t="s">
        <v>154</v>
      </c>
      <c r="F6" s="29" t="s">
        <v>155</v>
      </c>
      <c r="G6" s="29" t="s">
        <v>156</v>
      </c>
      <c r="H6" s="29" t="s">
        <v>157</v>
      </c>
      <c r="I6" s="29" t="s">
        <v>158</v>
      </c>
      <c r="J6" s="29"/>
      <c r="K6" s="28" t="s">
        <v>17</v>
      </c>
      <c r="L6" s="29">
        <v>4.82</v>
      </c>
      <c r="M6" s="29">
        <v>1.61</v>
      </c>
      <c r="N6" s="29">
        <v>11.93</v>
      </c>
      <c r="O6" s="29">
        <v>8.1999999999999993</v>
      </c>
      <c r="P6" s="29">
        <v>3.91</v>
      </c>
      <c r="Q6" s="29"/>
      <c r="R6" s="28" t="s">
        <v>17</v>
      </c>
      <c r="S6" s="29">
        <v>23.44</v>
      </c>
      <c r="T6" s="29">
        <v>9.31</v>
      </c>
      <c r="U6" s="29">
        <v>24.35</v>
      </c>
    </row>
    <row r="7" spans="4:21" ht="15" thickBot="1">
      <c r="D7" s="28" t="s">
        <v>18</v>
      </c>
      <c r="E7" s="29" t="s">
        <v>159</v>
      </c>
      <c r="F7" s="29" t="s">
        <v>160</v>
      </c>
      <c r="G7" s="29" t="s">
        <v>161</v>
      </c>
      <c r="H7" s="29" t="s">
        <v>162</v>
      </c>
      <c r="I7" s="29" t="s">
        <v>163</v>
      </c>
      <c r="J7" s="29"/>
      <c r="K7" s="28" t="s">
        <v>18</v>
      </c>
      <c r="L7" s="29">
        <v>5.0599999999999996</v>
      </c>
      <c r="M7" s="29">
        <v>1.87</v>
      </c>
      <c r="N7" s="29">
        <v>11.44</v>
      </c>
      <c r="O7" s="29">
        <v>7.89</v>
      </c>
      <c r="P7" s="29">
        <v>3.79</v>
      </c>
      <c r="Q7" s="29"/>
      <c r="R7" s="28" t="s">
        <v>18</v>
      </c>
      <c r="S7" s="29">
        <v>21.94</v>
      </c>
      <c r="T7" s="29">
        <v>8.65</v>
      </c>
      <c r="U7" s="29">
        <v>23.35</v>
      </c>
    </row>
    <row r="8" spans="4:21" ht="15" thickBot="1">
      <c r="D8" s="28" t="s">
        <v>19</v>
      </c>
      <c r="E8" s="29" t="s">
        <v>164</v>
      </c>
      <c r="F8" s="29" t="s">
        <v>165</v>
      </c>
      <c r="G8" s="29" t="s">
        <v>166</v>
      </c>
      <c r="H8" s="29" t="s">
        <v>167</v>
      </c>
      <c r="I8" s="29" t="s">
        <v>168</v>
      </c>
      <c r="J8" s="29"/>
      <c r="K8" s="28" t="s">
        <v>19</v>
      </c>
      <c r="L8" s="29">
        <v>5.25</v>
      </c>
      <c r="M8" s="29">
        <v>2.06</v>
      </c>
      <c r="N8" s="29">
        <v>11.1</v>
      </c>
      <c r="O8" s="29">
        <v>7.6</v>
      </c>
      <c r="P8" s="29">
        <v>3.68</v>
      </c>
      <c r="Q8" s="29"/>
      <c r="R8" s="28" t="s">
        <v>19</v>
      </c>
      <c r="S8" s="29">
        <v>20.72</v>
      </c>
      <c r="T8" s="29">
        <v>8.15</v>
      </c>
      <c r="U8" s="29">
        <v>22.71</v>
      </c>
    </row>
    <row r="9" spans="4:21" ht="15" thickBot="1">
      <c r="D9" s="28" t="s">
        <v>20</v>
      </c>
      <c r="E9" s="29" t="s">
        <v>169</v>
      </c>
      <c r="F9" s="29" t="s">
        <v>170</v>
      </c>
      <c r="G9" s="29" t="s">
        <v>171</v>
      </c>
      <c r="H9" s="29" t="s">
        <v>172</v>
      </c>
      <c r="I9" s="29" t="s">
        <v>173</v>
      </c>
      <c r="J9" s="29"/>
      <c r="K9" s="28" t="s">
        <v>20</v>
      </c>
      <c r="L9" s="29">
        <v>5.41</v>
      </c>
      <c r="M9" s="29">
        <v>2.11</v>
      </c>
      <c r="N9" s="29">
        <v>11.19</v>
      </c>
      <c r="O9" s="29">
        <v>7.62</v>
      </c>
      <c r="P9" s="29">
        <v>3.66</v>
      </c>
      <c r="Q9" s="29"/>
      <c r="R9" s="28" t="s">
        <v>20</v>
      </c>
      <c r="S9" s="29">
        <v>21.24</v>
      </c>
      <c r="T9" s="29">
        <v>8.26</v>
      </c>
      <c r="U9" s="29">
        <v>22.87</v>
      </c>
    </row>
    <row r="10" spans="4:21" ht="15" thickBot="1">
      <c r="D10" s="28" t="s">
        <v>21</v>
      </c>
      <c r="E10" s="29" t="s">
        <v>174</v>
      </c>
      <c r="F10" s="29" t="s">
        <v>170</v>
      </c>
      <c r="G10" s="29" t="s">
        <v>161</v>
      </c>
      <c r="H10" s="29" t="s">
        <v>175</v>
      </c>
      <c r="I10" s="29" t="s">
        <v>176</v>
      </c>
      <c r="J10" s="29"/>
      <c r="K10" s="28" t="s">
        <v>21</v>
      </c>
      <c r="L10" s="29">
        <v>5.2</v>
      </c>
      <c r="M10" s="29">
        <v>1.82</v>
      </c>
      <c r="N10" s="29">
        <v>11.31</v>
      </c>
      <c r="O10" s="29">
        <v>7.82</v>
      </c>
      <c r="P10" s="29">
        <v>3.81</v>
      </c>
      <c r="Q10" s="29"/>
      <c r="R10" s="28" t="s">
        <v>21</v>
      </c>
      <c r="S10" s="29">
        <v>22.77</v>
      </c>
      <c r="T10" s="29">
        <v>8.8699999999999992</v>
      </c>
      <c r="U10" s="29">
        <v>23.56</v>
      </c>
    </row>
    <row r="11" spans="4:21" ht="15" thickBot="1">
      <c r="D11" s="28" t="s">
        <v>22</v>
      </c>
      <c r="E11" s="29" t="s">
        <v>177</v>
      </c>
      <c r="F11" s="29" t="s">
        <v>178</v>
      </c>
      <c r="G11" s="29" t="s">
        <v>179</v>
      </c>
      <c r="H11" s="29" t="s">
        <v>180</v>
      </c>
      <c r="I11" s="29" t="s">
        <v>181</v>
      </c>
      <c r="J11" s="29"/>
      <c r="K11" s="28" t="s">
        <v>22</v>
      </c>
      <c r="L11" s="29">
        <v>4.8600000000000003</v>
      </c>
      <c r="M11" s="29">
        <v>1.72</v>
      </c>
      <c r="N11" s="29">
        <v>11.56</v>
      </c>
      <c r="O11" s="29">
        <v>8.18</v>
      </c>
      <c r="P11" s="29">
        <v>3.71</v>
      </c>
      <c r="Q11" s="29"/>
      <c r="R11" s="28" t="s">
        <v>22</v>
      </c>
      <c r="S11" s="29">
        <v>22.95</v>
      </c>
      <c r="T11" s="29">
        <v>8.9</v>
      </c>
      <c r="U11" s="29">
        <v>23.86</v>
      </c>
    </row>
    <row r="12" spans="4:21" ht="15" thickBot="1">
      <c r="D12" s="28" t="s">
        <v>23</v>
      </c>
      <c r="E12" s="29" t="s">
        <v>182</v>
      </c>
      <c r="F12" s="29" t="s">
        <v>183</v>
      </c>
      <c r="G12" s="29" t="s">
        <v>184</v>
      </c>
      <c r="H12" s="29" t="s">
        <v>185</v>
      </c>
      <c r="I12" s="29" t="s">
        <v>186</v>
      </c>
      <c r="J12" s="29"/>
      <c r="K12" s="28" t="s">
        <v>23</v>
      </c>
      <c r="L12" s="29">
        <v>5.0599999999999996</v>
      </c>
      <c r="M12" s="29">
        <v>1.83</v>
      </c>
      <c r="N12" s="29">
        <v>11.44</v>
      </c>
      <c r="O12" s="29">
        <v>7.83</v>
      </c>
      <c r="P12" s="29">
        <v>3.75</v>
      </c>
      <c r="Q12" s="29"/>
      <c r="R12" s="28" t="s">
        <v>23</v>
      </c>
      <c r="S12" s="29">
        <v>21.83</v>
      </c>
      <c r="T12" s="29">
        <v>8.69</v>
      </c>
      <c r="U12" s="29">
        <v>23.44</v>
      </c>
    </row>
    <row r="13" spans="4:21" ht="15" thickBot="1">
      <c r="D13" s="28" t="s">
        <v>24</v>
      </c>
      <c r="E13" s="29" t="s">
        <v>187</v>
      </c>
      <c r="F13" s="29" t="s">
        <v>188</v>
      </c>
      <c r="G13" s="29" t="s">
        <v>189</v>
      </c>
      <c r="H13" s="29" t="s">
        <v>190</v>
      </c>
      <c r="I13" s="29" t="s">
        <v>191</v>
      </c>
      <c r="J13" s="29"/>
      <c r="K13" s="28" t="s">
        <v>24</v>
      </c>
      <c r="L13" s="29">
        <v>5.0999999999999996</v>
      </c>
      <c r="M13" s="29">
        <v>1.79</v>
      </c>
      <c r="N13" s="29">
        <v>11.47</v>
      </c>
      <c r="O13" s="29">
        <v>7.96</v>
      </c>
      <c r="P13" s="29">
        <v>3.88</v>
      </c>
      <c r="Q13" s="29"/>
      <c r="R13" s="28" t="s">
        <v>24</v>
      </c>
      <c r="S13" s="29">
        <v>22.92</v>
      </c>
      <c r="T13" s="29">
        <v>9.01</v>
      </c>
      <c r="U13" s="29">
        <v>23.69</v>
      </c>
    </row>
    <row r="14" spans="4:21" ht="15" thickBot="1">
      <c r="D14" s="28" t="s">
        <v>25</v>
      </c>
      <c r="E14" s="29" t="s">
        <v>192</v>
      </c>
      <c r="F14" s="29" t="s">
        <v>193</v>
      </c>
      <c r="G14" s="29" t="s">
        <v>194</v>
      </c>
      <c r="H14" s="29" t="s">
        <v>195</v>
      </c>
      <c r="I14" s="29" t="s">
        <v>196</v>
      </c>
      <c r="J14" s="29"/>
      <c r="K14" s="28" t="s">
        <v>25</v>
      </c>
      <c r="L14" s="29">
        <v>5.48</v>
      </c>
      <c r="M14" s="29">
        <v>2.23</v>
      </c>
      <c r="N14" s="29">
        <v>10.8</v>
      </c>
      <c r="O14" s="29">
        <v>7.38</v>
      </c>
      <c r="P14" s="29">
        <v>3.64</v>
      </c>
      <c r="Q14" s="29"/>
      <c r="R14" s="28" t="s">
        <v>25</v>
      </c>
      <c r="S14" s="29">
        <v>21.12</v>
      </c>
      <c r="T14" s="29">
        <v>7.93</v>
      </c>
      <c r="U14" s="29">
        <v>22.61</v>
      </c>
    </row>
    <row r="15" spans="4:21" ht="15" thickBot="1"/>
    <row r="16" spans="4:21" ht="15" thickBot="1">
      <c r="E16" s="27" t="s">
        <v>149</v>
      </c>
      <c r="F16" s="27" t="s">
        <v>150</v>
      </c>
      <c r="G16" s="27" t="s">
        <v>151</v>
      </c>
      <c r="H16" s="27" t="s">
        <v>152</v>
      </c>
      <c r="I16" s="27" t="s">
        <v>153</v>
      </c>
      <c r="J16" s="44"/>
      <c r="L16" s="27" t="s">
        <v>72</v>
      </c>
      <c r="M16" s="27" t="s">
        <v>73</v>
      </c>
      <c r="N16" s="27" t="s">
        <v>74</v>
      </c>
      <c r="O16" s="27" t="s">
        <v>75</v>
      </c>
      <c r="P16" s="27" t="s">
        <v>76</v>
      </c>
      <c r="Q16" s="44"/>
      <c r="S16" s="27" t="s">
        <v>197</v>
      </c>
      <c r="T16" s="27" t="s">
        <v>198</v>
      </c>
      <c r="U16" s="27" t="s">
        <v>199</v>
      </c>
    </row>
    <row r="17" spans="1:21" ht="32.5" thickBot="1">
      <c r="A17" s="31" t="s">
        <v>78</v>
      </c>
      <c r="B17" s="28" t="s">
        <v>17</v>
      </c>
      <c r="D17" s="30" t="s">
        <v>78</v>
      </c>
      <c r="E17" s="29" t="s">
        <v>154</v>
      </c>
      <c r="F17" s="29" t="s">
        <v>155</v>
      </c>
      <c r="G17" s="29" t="s">
        <v>156</v>
      </c>
      <c r="H17" s="29" t="s">
        <v>157</v>
      </c>
      <c r="I17" s="29" t="s">
        <v>158</v>
      </c>
      <c r="J17" s="29"/>
      <c r="K17" s="30" t="s">
        <v>78</v>
      </c>
      <c r="L17" s="29">
        <v>4.82</v>
      </c>
      <c r="M17" s="29">
        <v>1.61</v>
      </c>
      <c r="N17" s="29">
        <v>11.93</v>
      </c>
      <c r="O17" s="29">
        <v>8.1999999999999993</v>
      </c>
      <c r="P17" s="29">
        <v>3.91</v>
      </c>
      <c r="Q17" s="29"/>
      <c r="R17" s="30" t="s">
        <v>78</v>
      </c>
      <c r="S17" s="29">
        <v>23.44</v>
      </c>
      <c r="T17" s="29">
        <v>9.31</v>
      </c>
      <c r="U17" s="29">
        <v>24.35</v>
      </c>
    </row>
    <row r="18" spans="1:21" ht="32.5" thickBot="1">
      <c r="A18" s="31" t="s">
        <v>27</v>
      </c>
      <c r="B18" s="28" t="s">
        <v>18</v>
      </c>
      <c r="D18" s="31" t="s">
        <v>27</v>
      </c>
      <c r="E18" s="29" t="s">
        <v>159</v>
      </c>
      <c r="F18" s="29" t="s">
        <v>160</v>
      </c>
      <c r="G18" s="29" t="s">
        <v>161</v>
      </c>
      <c r="H18" s="29" t="s">
        <v>162</v>
      </c>
      <c r="I18" s="29" t="s">
        <v>163</v>
      </c>
      <c r="J18" s="29"/>
      <c r="K18" s="31" t="s">
        <v>27</v>
      </c>
      <c r="L18" s="29">
        <v>5.0599999999999996</v>
      </c>
      <c r="M18" s="29">
        <v>1.87</v>
      </c>
      <c r="N18" s="29">
        <v>11.44</v>
      </c>
      <c r="O18" s="29">
        <v>7.89</v>
      </c>
      <c r="P18" s="29">
        <v>3.79</v>
      </c>
      <c r="Q18" s="29"/>
      <c r="R18" s="31" t="s">
        <v>27</v>
      </c>
      <c r="S18" s="29">
        <v>21.94</v>
      </c>
      <c r="T18" s="29">
        <v>8.65</v>
      </c>
      <c r="U18" s="29">
        <v>23.35</v>
      </c>
    </row>
    <row r="19" spans="1:21" ht="48.5" thickBot="1">
      <c r="A19" s="31" t="s">
        <v>79</v>
      </c>
      <c r="B19" s="28" t="s">
        <v>19</v>
      </c>
      <c r="D19" s="31" t="s">
        <v>28</v>
      </c>
      <c r="E19" s="29" t="s">
        <v>182</v>
      </c>
      <c r="F19" s="29" t="s">
        <v>183</v>
      </c>
      <c r="G19" s="29" t="s">
        <v>184</v>
      </c>
      <c r="H19" s="29" t="s">
        <v>185</v>
      </c>
      <c r="I19" s="29" t="s">
        <v>186</v>
      </c>
      <c r="J19" s="29"/>
      <c r="K19" s="31" t="s">
        <v>28</v>
      </c>
      <c r="L19" s="29">
        <v>5.0599999999999996</v>
      </c>
      <c r="M19" s="29">
        <v>1.83</v>
      </c>
      <c r="N19" s="29">
        <v>11.44</v>
      </c>
      <c r="O19" s="29">
        <v>7.83</v>
      </c>
      <c r="P19" s="29">
        <v>3.75</v>
      </c>
      <c r="Q19" s="29"/>
      <c r="R19" s="31" t="s">
        <v>28</v>
      </c>
      <c r="S19" s="29">
        <v>21.83</v>
      </c>
      <c r="T19" s="29">
        <v>8.69</v>
      </c>
      <c r="U19" s="29">
        <v>23.44</v>
      </c>
    </row>
    <row r="20" spans="1:21" ht="32.5" thickBot="1">
      <c r="A20" s="31" t="s">
        <v>81</v>
      </c>
      <c r="B20" s="28" t="s">
        <v>20</v>
      </c>
      <c r="D20" s="31" t="s">
        <v>79</v>
      </c>
      <c r="E20" s="29" t="s">
        <v>164</v>
      </c>
      <c r="F20" s="29" t="s">
        <v>165</v>
      </c>
      <c r="G20" s="29" t="s">
        <v>166</v>
      </c>
      <c r="H20" s="29" t="s">
        <v>167</v>
      </c>
      <c r="I20" s="29" t="s">
        <v>168</v>
      </c>
      <c r="J20" s="29"/>
      <c r="K20" s="31" t="s">
        <v>79</v>
      </c>
      <c r="L20" s="29">
        <v>5.25</v>
      </c>
      <c r="M20" s="29">
        <v>2.06</v>
      </c>
      <c r="N20" s="29">
        <v>11.1</v>
      </c>
      <c r="O20" s="29">
        <v>7.6</v>
      </c>
      <c r="P20" s="29">
        <v>3.68</v>
      </c>
      <c r="Q20" s="29"/>
      <c r="R20" s="31" t="s">
        <v>79</v>
      </c>
      <c r="S20" s="29">
        <v>20.72</v>
      </c>
      <c r="T20" s="29">
        <v>8.15</v>
      </c>
      <c r="U20" s="29">
        <v>22.71</v>
      </c>
    </row>
    <row r="21" spans="1:21" ht="32.5" thickBot="1">
      <c r="A21" s="31" t="s">
        <v>30</v>
      </c>
      <c r="B21" s="28" t="s">
        <v>21</v>
      </c>
      <c r="D21" s="31" t="s">
        <v>30</v>
      </c>
      <c r="E21" s="29" t="s">
        <v>174</v>
      </c>
      <c r="F21" s="29" t="s">
        <v>170</v>
      </c>
      <c r="G21" s="29" t="s">
        <v>161</v>
      </c>
      <c r="H21" s="29" t="s">
        <v>175</v>
      </c>
      <c r="I21" s="29" t="s">
        <v>176</v>
      </c>
      <c r="J21" s="29"/>
      <c r="K21" s="31" t="s">
        <v>30</v>
      </c>
      <c r="L21" s="29">
        <v>5.2</v>
      </c>
      <c r="M21" s="29">
        <v>1.82</v>
      </c>
      <c r="N21" s="29">
        <v>11.31</v>
      </c>
      <c r="O21" s="29">
        <v>7.82</v>
      </c>
      <c r="P21" s="29">
        <v>3.81</v>
      </c>
      <c r="Q21" s="29"/>
      <c r="R21" s="31" t="s">
        <v>30</v>
      </c>
      <c r="S21" s="29">
        <v>22.77</v>
      </c>
      <c r="T21" s="29">
        <v>8.8699999999999992</v>
      </c>
      <c r="U21" s="29">
        <v>23.56</v>
      </c>
    </row>
    <row r="22" spans="1:21" ht="48.5" thickBot="1">
      <c r="A22" s="31" t="s">
        <v>80</v>
      </c>
      <c r="B22" s="28" t="s">
        <v>22</v>
      </c>
      <c r="D22" s="31" t="s">
        <v>31</v>
      </c>
      <c r="E22" s="29" t="s">
        <v>187</v>
      </c>
      <c r="F22" s="29" t="s">
        <v>188</v>
      </c>
      <c r="G22" s="29" t="s">
        <v>189</v>
      </c>
      <c r="H22" s="29" t="s">
        <v>190</v>
      </c>
      <c r="I22" s="29" t="s">
        <v>191</v>
      </c>
      <c r="J22" s="29"/>
      <c r="K22" s="31" t="s">
        <v>31</v>
      </c>
      <c r="L22" s="29">
        <v>5.0999999999999996</v>
      </c>
      <c r="M22" s="29">
        <v>1.79</v>
      </c>
      <c r="N22" s="29">
        <v>11.47</v>
      </c>
      <c r="O22" s="29">
        <v>7.96</v>
      </c>
      <c r="P22" s="29">
        <v>3.88</v>
      </c>
      <c r="Q22" s="29"/>
      <c r="R22" s="31" t="s">
        <v>31</v>
      </c>
      <c r="S22" s="29">
        <v>22.92</v>
      </c>
      <c r="T22" s="29">
        <v>9.01</v>
      </c>
      <c r="U22" s="29">
        <v>23.69</v>
      </c>
    </row>
    <row r="23" spans="1:21" ht="32.5" thickBot="1">
      <c r="A23" s="31" t="s">
        <v>28</v>
      </c>
      <c r="B23" s="28" t="s">
        <v>23</v>
      </c>
      <c r="D23" s="31" t="s">
        <v>80</v>
      </c>
      <c r="E23" s="29" t="s">
        <v>177</v>
      </c>
      <c r="F23" s="29" t="s">
        <v>178</v>
      </c>
      <c r="G23" s="29" t="s">
        <v>179</v>
      </c>
      <c r="H23" s="29" t="s">
        <v>180</v>
      </c>
      <c r="I23" s="29" t="s">
        <v>181</v>
      </c>
      <c r="J23" s="29"/>
      <c r="K23" s="31" t="s">
        <v>80</v>
      </c>
      <c r="L23" s="29">
        <v>4.8600000000000003</v>
      </c>
      <c r="M23" s="29">
        <v>1.72</v>
      </c>
      <c r="N23" s="29">
        <v>11.56</v>
      </c>
      <c r="O23" s="29">
        <v>8.18</v>
      </c>
      <c r="P23" s="29">
        <v>3.71</v>
      </c>
      <c r="Q23" s="29"/>
      <c r="R23" s="31" t="s">
        <v>80</v>
      </c>
      <c r="S23" s="29">
        <v>22.95</v>
      </c>
      <c r="T23" s="29">
        <v>8.9</v>
      </c>
      <c r="U23" s="29">
        <v>23.86</v>
      </c>
    </row>
    <row r="24" spans="1:21" ht="112.5" thickBot="1">
      <c r="A24" s="31" t="s">
        <v>31</v>
      </c>
      <c r="B24" s="28" t="s">
        <v>24</v>
      </c>
      <c r="D24" s="31" t="s">
        <v>81</v>
      </c>
      <c r="E24" s="29" t="s">
        <v>169</v>
      </c>
      <c r="F24" s="29" t="s">
        <v>170</v>
      </c>
      <c r="G24" s="29" t="s">
        <v>171</v>
      </c>
      <c r="H24" s="29" t="s">
        <v>172</v>
      </c>
      <c r="I24" s="29" t="s">
        <v>173</v>
      </c>
      <c r="J24" s="29"/>
      <c r="K24" s="31" t="s">
        <v>81</v>
      </c>
      <c r="L24" s="29">
        <v>5.41</v>
      </c>
      <c r="M24" s="29">
        <v>2.11</v>
      </c>
      <c r="N24" s="29">
        <v>11.19</v>
      </c>
      <c r="O24" s="29">
        <v>7.62</v>
      </c>
      <c r="P24" s="29">
        <v>3.66</v>
      </c>
      <c r="Q24" s="29"/>
      <c r="R24" s="31" t="s">
        <v>81</v>
      </c>
      <c r="S24" s="29">
        <v>21.24</v>
      </c>
      <c r="T24" s="29">
        <v>8.26</v>
      </c>
      <c r="U24" s="29">
        <v>22.87</v>
      </c>
    </row>
    <row r="25" spans="1:21" ht="112.5" thickBot="1">
      <c r="A25" s="31" t="s">
        <v>82</v>
      </c>
      <c r="B25" s="28" t="s">
        <v>25</v>
      </c>
      <c r="D25" s="31" t="s">
        <v>82</v>
      </c>
      <c r="E25" s="29" t="s">
        <v>192</v>
      </c>
      <c r="F25" s="29" t="s">
        <v>193</v>
      </c>
      <c r="G25" s="29" t="s">
        <v>194</v>
      </c>
      <c r="H25" s="29" t="s">
        <v>195</v>
      </c>
      <c r="I25" s="29" t="s">
        <v>196</v>
      </c>
      <c r="J25" s="29"/>
      <c r="K25" s="31" t="s">
        <v>82</v>
      </c>
      <c r="L25" s="29">
        <v>5.48</v>
      </c>
      <c r="M25" s="29">
        <v>2.23</v>
      </c>
      <c r="N25" s="29">
        <v>10.8</v>
      </c>
      <c r="O25" s="29">
        <v>7.38</v>
      </c>
      <c r="P25" s="29">
        <v>3.64</v>
      </c>
      <c r="Q25" s="29"/>
      <c r="R25" s="31" t="s">
        <v>82</v>
      </c>
      <c r="S25" s="29">
        <v>21.12</v>
      </c>
      <c r="T25" s="29">
        <v>7.93</v>
      </c>
      <c r="U25" s="29">
        <v>22.61</v>
      </c>
    </row>
    <row r="26" spans="1:21" ht="15" thickBot="1"/>
    <row r="27" spans="1:21" ht="16.5" thickBot="1">
      <c r="A27" s="30" t="s">
        <v>78</v>
      </c>
      <c r="B27" s="28" t="s">
        <v>17</v>
      </c>
    </row>
    <row r="28" spans="1:21" ht="16.5" thickBot="1">
      <c r="A28" s="31" t="s">
        <v>27</v>
      </c>
      <c r="B28" s="28" t="s">
        <v>18</v>
      </c>
    </row>
    <row r="29" spans="1:21" ht="16.5" thickBot="1">
      <c r="A29" s="31" t="s">
        <v>28</v>
      </c>
      <c r="B29" s="28" t="s">
        <v>23</v>
      </c>
    </row>
    <row r="30" spans="1:21" ht="16.5" thickBot="1">
      <c r="A30" s="31" t="s">
        <v>79</v>
      </c>
      <c r="B30" s="28" t="s">
        <v>19</v>
      </c>
    </row>
    <row r="31" spans="1:21" ht="16.5" thickBot="1">
      <c r="A31" s="31" t="s">
        <v>30</v>
      </c>
      <c r="B31" s="28" t="s">
        <v>21</v>
      </c>
    </row>
    <row r="32" spans="1:21" ht="16.5" thickBot="1">
      <c r="A32" s="31" t="s">
        <v>31</v>
      </c>
      <c r="B32" s="28" t="s">
        <v>24</v>
      </c>
    </row>
    <row r="33" spans="1:2" ht="16.5" thickBot="1">
      <c r="A33" s="31" t="s">
        <v>80</v>
      </c>
      <c r="B33" s="28" t="s">
        <v>22</v>
      </c>
    </row>
    <row r="34" spans="1:2" ht="16.5" thickBot="1">
      <c r="A34" s="31" t="s">
        <v>81</v>
      </c>
      <c r="B34" s="28" t="s">
        <v>20</v>
      </c>
    </row>
    <row r="35" spans="1:2" ht="16.5" thickBot="1">
      <c r="A35" s="31" t="s">
        <v>82</v>
      </c>
      <c r="B35" s="28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4E330-4B61-4D86-A6F2-504C613A058E}">
  <dimension ref="B3:L29"/>
  <sheetViews>
    <sheetView workbookViewId="0">
      <selection activeCell="F25" sqref="F25"/>
    </sheetView>
  </sheetViews>
  <sheetFormatPr defaultRowHeight="14.5"/>
  <cols>
    <col min="2" max="2" width="35.26953125" bestFit="1" customWidth="1"/>
    <col min="3" max="3" width="9.54296875" bestFit="1" customWidth="1"/>
    <col min="4" max="5" width="11.54296875" bestFit="1" customWidth="1"/>
    <col min="6" max="6" width="12.36328125" bestFit="1" customWidth="1"/>
    <col min="7" max="7" width="11.90625" bestFit="1" customWidth="1"/>
    <col min="8" max="8" width="16.08984375" bestFit="1" customWidth="1"/>
    <col min="12" max="12" width="30.1796875" customWidth="1"/>
  </cols>
  <sheetData>
    <row r="3" spans="2:12" ht="15" thickBot="1"/>
    <row r="4" spans="2:12" ht="16.5" thickBot="1">
      <c r="B4" s="33"/>
      <c r="C4" s="34" t="s">
        <v>7</v>
      </c>
      <c r="D4" s="34" t="s">
        <v>8</v>
      </c>
      <c r="E4" s="34" t="s">
        <v>87</v>
      </c>
      <c r="F4" s="34" t="s">
        <v>10</v>
      </c>
      <c r="G4" s="34" t="s">
        <v>11</v>
      </c>
      <c r="H4" s="34" t="s">
        <v>12</v>
      </c>
      <c r="L4" s="30" t="s">
        <v>77</v>
      </c>
    </row>
    <row r="5" spans="2:12" ht="16.5" thickBot="1">
      <c r="C5" s="37">
        <v>95</v>
      </c>
      <c r="D5" s="37">
        <v>1768</v>
      </c>
      <c r="E5" s="42" t="s">
        <v>89</v>
      </c>
      <c r="F5" s="42" t="s">
        <v>90</v>
      </c>
      <c r="G5" s="37">
        <v>1007</v>
      </c>
      <c r="H5" s="37">
        <v>109</v>
      </c>
      <c r="L5" s="31" t="s">
        <v>78</v>
      </c>
    </row>
    <row r="6" spans="2:12" ht="16.5" thickBot="1">
      <c r="B6" s="36">
        <v>-6800</v>
      </c>
      <c r="C6" s="38">
        <v>-1.4E-2</v>
      </c>
      <c r="D6" s="39">
        <v>-0.26</v>
      </c>
      <c r="E6" s="43"/>
      <c r="F6" s="43"/>
      <c r="G6" s="38">
        <v>-0.14810000000000001</v>
      </c>
      <c r="H6" s="38">
        <v>-1.6E-2</v>
      </c>
      <c r="L6" s="31" t="s">
        <v>27</v>
      </c>
    </row>
    <row r="7" spans="2:12" ht="16.5" thickBot="1">
      <c r="C7" s="37">
        <v>6</v>
      </c>
      <c r="D7" s="37">
        <v>167</v>
      </c>
      <c r="E7" s="37">
        <v>382</v>
      </c>
      <c r="F7" s="42" t="s">
        <v>93</v>
      </c>
      <c r="G7" s="37">
        <v>589</v>
      </c>
      <c r="H7" s="37">
        <v>101</v>
      </c>
      <c r="L7" s="31" t="s">
        <v>28</v>
      </c>
    </row>
    <row r="8" spans="2:12" ht="16.5" thickBot="1">
      <c r="B8" s="36" t="s">
        <v>92</v>
      </c>
      <c r="C8" s="38">
        <v>-3.0999999999999999E-3</v>
      </c>
      <c r="D8" s="38">
        <v>-8.6900000000000005E-2</v>
      </c>
      <c r="E8" s="38">
        <v>-0.19889999999999999</v>
      </c>
      <c r="F8" s="43"/>
      <c r="G8" s="38">
        <v>-0.30659999999999998</v>
      </c>
      <c r="H8" s="38">
        <v>-5.2600000000000001E-2</v>
      </c>
      <c r="L8" s="31" t="s">
        <v>79</v>
      </c>
    </row>
    <row r="9" spans="2:12" ht="16.5" thickBot="1">
      <c r="B9" s="35" t="s">
        <v>26</v>
      </c>
      <c r="C9" s="37">
        <v>46</v>
      </c>
      <c r="D9" s="37">
        <v>840</v>
      </c>
      <c r="E9" s="37">
        <v>536</v>
      </c>
      <c r="F9" s="42" t="s">
        <v>95</v>
      </c>
      <c r="G9" s="37">
        <v>37</v>
      </c>
      <c r="H9" s="37">
        <v>0</v>
      </c>
      <c r="L9" s="31" t="s">
        <v>30</v>
      </c>
    </row>
    <row r="10" spans="2:12" ht="16.5" thickBot="1">
      <c r="B10" s="36" t="s">
        <v>94</v>
      </c>
      <c r="C10" s="38">
        <v>-2.7E-2</v>
      </c>
      <c r="D10" s="38">
        <v>-0.49380000000000002</v>
      </c>
      <c r="E10" s="38">
        <v>-0.31509999999999999</v>
      </c>
      <c r="F10" s="43"/>
      <c r="G10" s="38">
        <v>-2.18E-2</v>
      </c>
      <c r="H10" s="39">
        <v>0</v>
      </c>
      <c r="L10" s="31" t="s">
        <v>31</v>
      </c>
    </row>
    <row r="11" spans="2:12" ht="16.5" thickBot="1">
      <c r="B11" s="35" t="s">
        <v>96</v>
      </c>
      <c r="C11" s="37">
        <v>35</v>
      </c>
      <c r="D11" s="37">
        <v>640</v>
      </c>
      <c r="E11" s="37">
        <v>825</v>
      </c>
      <c r="F11" s="37">
        <v>731</v>
      </c>
      <c r="G11" s="42" t="s">
        <v>98</v>
      </c>
      <c r="H11" s="37">
        <v>0</v>
      </c>
      <c r="L11" s="31" t="s">
        <v>80</v>
      </c>
    </row>
    <row r="12" spans="2:12" ht="32.5" thickBot="1">
      <c r="B12" s="36" t="s">
        <v>97</v>
      </c>
      <c r="C12" s="38">
        <v>-1.4200000000000001E-2</v>
      </c>
      <c r="D12" s="38">
        <v>-0.2591</v>
      </c>
      <c r="E12" s="38">
        <v>-0.33400000000000002</v>
      </c>
      <c r="F12" s="38">
        <v>-0.29599999999999999</v>
      </c>
      <c r="G12" s="43"/>
      <c r="H12" s="39">
        <v>0</v>
      </c>
      <c r="L12" s="31" t="s">
        <v>81</v>
      </c>
    </row>
    <row r="13" spans="2:12" ht="32.5" thickBot="1">
      <c r="B13" s="40" t="s">
        <v>99</v>
      </c>
      <c r="C13" s="41" t="s">
        <v>100</v>
      </c>
      <c r="D13" s="41" t="s">
        <v>101</v>
      </c>
      <c r="E13" s="41" t="s">
        <v>102</v>
      </c>
      <c r="F13" s="41" t="s">
        <v>103</v>
      </c>
      <c r="G13" s="41" t="s">
        <v>104</v>
      </c>
      <c r="H13" s="41" t="s">
        <v>105</v>
      </c>
      <c r="L13" s="31" t="s">
        <v>82</v>
      </c>
    </row>
    <row r="14" spans="2:12" ht="15" thickBot="1">
      <c r="B14" s="40" t="s">
        <v>106</v>
      </c>
      <c r="C14" s="41" t="s">
        <v>107</v>
      </c>
      <c r="D14" s="41" t="s">
        <v>108</v>
      </c>
      <c r="E14" s="41" t="s">
        <v>109</v>
      </c>
      <c r="F14" s="41" t="s">
        <v>110</v>
      </c>
      <c r="G14" s="41" t="s">
        <v>111</v>
      </c>
      <c r="H14" s="41" t="s">
        <v>112</v>
      </c>
    </row>
    <row r="15" spans="2:12">
      <c r="B15" s="35" t="s">
        <v>147</v>
      </c>
      <c r="C15" s="37">
        <v>0</v>
      </c>
      <c r="D15" s="37">
        <v>3</v>
      </c>
      <c r="E15" s="37">
        <v>11</v>
      </c>
      <c r="F15" s="37">
        <v>15</v>
      </c>
      <c r="G15" s="37">
        <v>14</v>
      </c>
      <c r="H15" s="37">
        <v>2</v>
      </c>
    </row>
    <row r="16" spans="2:12" ht="15" thickBot="1">
      <c r="B16" s="36" t="s">
        <v>113</v>
      </c>
      <c r="C16" s="39">
        <v>0</v>
      </c>
      <c r="D16" s="38">
        <v>-6.6699999999999995E-2</v>
      </c>
      <c r="E16" s="38">
        <v>-0.24440000000000001</v>
      </c>
      <c r="F16" s="38">
        <v>-0.33329999999999999</v>
      </c>
      <c r="G16" s="38">
        <v>-0.31109999999999999</v>
      </c>
      <c r="H16" s="38">
        <v>-4.4400000000000002E-2</v>
      </c>
    </row>
    <row r="17" spans="2:8">
      <c r="B17" s="35" t="s">
        <v>114</v>
      </c>
      <c r="C17" s="37">
        <v>2</v>
      </c>
      <c r="D17" s="37">
        <v>29</v>
      </c>
      <c r="E17" s="37">
        <v>59</v>
      </c>
      <c r="F17" s="42" t="s">
        <v>116</v>
      </c>
      <c r="G17" s="37">
        <v>98</v>
      </c>
      <c r="H17" s="37">
        <v>6</v>
      </c>
    </row>
    <row r="18" spans="2:8" ht="15" thickBot="1">
      <c r="B18" s="36" t="s">
        <v>115</v>
      </c>
      <c r="C18" s="38">
        <v>-6.0000000000000001E-3</v>
      </c>
      <c r="D18" s="38">
        <v>-8.7099999999999997E-2</v>
      </c>
      <c r="E18" s="38">
        <v>-0.1772</v>
      </c>
      <c r="F18" s="43"/>
      <c r="G18" s="38">
        <v>-0.29430000000000001</v>
      </c>
      <c r="H18" s="38">
        <v>-1.7999999999999999E-2</v>
      </c>
    </row>
    <row r="19" spans="2:8" ht="15" thickBot="1">
      <c r="B19" s="40" t="s">
        <v>117</v>
      </c>
      <c r="C19" s="41" t="s">
        <v>118</v>
      </c>
      <c r="D19" s="41" t="s">
        <v>119</v>
      </c>
      <c r="E19" s="41" t="s">
        <v>120</v>
      </c>
      <c r="F19" s="41" t="s">
        <v>121</v>
      </c>
      <c r="G19" s="41" t="s">
        <v>122</v>
      </c>
      <c r="H19" s="41" t="s">
        <v>123</v>
      </c>
    </row>
    <row r="20" spans="2:8" ht="15" thickBot="1">
      <c r="B20" s="40" t="s">
        <v>124</v>
      </c>
      <c r="C20" s="41" t="s">
        <v>125</v>
      </c>
      <c r="D20" s="41" t="s">
        <v>126</v>
      </c>
      <c r="E20" s="41" t="s">
        <v>127</v>
      </c>
      <c r="F20" s="41" t="s">
        <v>128</v>
      </c>
      <c r="G20" s="41" t="s">
        <v>129</v>
      </c>
      <c r="H20" s="41" t="s">
        <v>130</v>
      </c>
    </row>
    <row r="21" spans="2:8">
      <c r="B21" s="35" t="s">
        <v>148</v>
      </c>
      <c r="C21" s="37">
        <v>6</v>
      </c>
      <c r="D21" s="37">
        <v>89</v>
      </c>
      <c r="E21" s="37">
        <v>132</v>
      </c>
      <c r="F21" s="37">
        <v>73</v>
      </c>
      <c r="G21" s="37">
        <v>30</v>
      </c>
      <c r="H21" s="37">
        <v>0</v>
      </c>
    </row>
    <row r="22" spans="2:8" ht="15" thickBot="1">
      <c r="B22" s="36" t="s">
        <v>131</v>
      </c>
      <c r="C22" s="38">
        <v>-1.8200000000000001E-2</v>
      </c>
      <c r="D22" s="38">
        <v>-0.2697</v>
      </c>
      <c r="E22" s="39">
        <v>-0.4</v>
      </c>
      <c r="F22" s="38">
        <v>-0.22120000000000001</v>
      </c>
      <c r="G22" s="38">
        <v>-9.0899999999999995E-2</v>
      </c>
      <c r="H22" s="39">
        <v>0</v>
      </c>
    </row>
    <row r="23" spans="2:8" ht="15" thickBot="1">
      <c r="B23" s="40" t="s">
        <v>132</v>
      </c>
      <c r="C23" s="41" t="s">
        <v>133</v>
      </c>
      <c r="D23" s="41" t="s">
        <v>134</v>
      </c>
      <c r="E23" s="41" t="s">
        <v>135</v>
      </c>
      <c r="F23" s="41" t="s">
        <v>136</v>
      </c>
      <c r="G23" s="41" t="s">
        <v>137</v>
      </c>
      <c r="H23" s="41" t="s">
        <v>138</v>
      </c>
    </row>
    <row r="24" spans="2:8" ht="15" thickBot="1">
      <c r="B24" s="40" t="s">
        <v>139</v>
      </c>
      <c r="C24" s="41" t="s">
        <v>140</v>
      </c>
      <c r="D24" s="41" t="s">
        <v>141</v>
      </c>
      <c r="E24" s="41" t="s">
        <v>142</v>
      </c>
      <c r="F24" s="41" t="s">
        <v>143</v>
      </c>
      <c r="G24" s="41" t="s">
        <v>144</v>
      </c>
      <c r="H24" s="41" t="s">
        <v>145</v>
      </c>
    </row>
    <row r="25" spans="2:8">
      <c r="B25" s="6" t="s">
        <v>146</v>
      </c>
    </row>
    <row r="28" spans="2:8">
      <c r="B28" s="35" t="s">
        <v>88</v>
      </c>
    </row>
    <row r="29" spans="2:8">
      <c r="B29" s="35" t="s">
        <v>91</v>
      </c>
    </row>
  </sheetData>
  <mergeCells count="6">
    <mergeCell ref="E5:E6"/>
    <mergeCell ref="F5:F6"/>
    <mergeCell ref="F7:F8"/>
    <mergeCell ref="F9:F10"/>
    <mergeCell ref="G11:G12"/>
    <mergeCell ref="F17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</dc:creator>
  <cp:lastModifiedBy>Edgardo Silva</cp:lastModifiedBy>
  <dcterms:created xsi:type="dcterms:W3CDTF">2015-06-05T18:17:20Z</dcterms:created>
  <dcterms:modified xsi:type="dcterms:W3CDTF">2025-11-09T18:18:05Z</dcterms:modified>
</cp:coreProperties>
</file>